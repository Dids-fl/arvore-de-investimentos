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2f6867a8a49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947571f5b67a4bae"/>
    <x:sheet xmlns:r="http://schemas.openxmlformats.org/officeDocument/2006/relationships" name="Matriz" sheetId="2" r:id="R61f37f2717d34904"/>
    <x:sheet xmlns:r="http://schemas.openxmlformats.org/officeDocument/2006/relationships" name="Fontes" sheetId="3" r:id="R19feb699331e4bd9"/>
    <x:sheet xmlns:r="http://schemas.openxmlformats.org/officeDocument/2006/relationships" name="Checks" sheetId="4" r:id="Rb471ec961a844f53"/>
    <x:sheet xmlns:r="http://schemas.openxmlformats.org/officeDocument/2006/relationships" name="Instrucoes" sheetId="5" r:id="R8ad4a56d66654a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&quot;R$&quot; #,##0.00;[Red](&quot;R$&quot; #,##0.00);-"/>
    <x:numFmt numFmtId="202" formatCode="0.0000%"/>
    <x:numFmt numFmtId="203" formatCode="&quot;R$&quot; 0.00"/>
    <x:numFmt numFmtId="204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66666"/>
      <x:name val="Carlito"/>
    </x:font>
    <x:font>
      <x:b/>
      <x:sz val="11"/>
      <x:color rgb="FF17365D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C00000"/>
      <x:name val="Carlito"/>
    </x:font>
    <x:font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</x:fills>
  <x:borders count="5">
    <x:border/>
    <x:border>
      <x:bottom style="thin">
        <x:color rgb="FF1F4E78"/>
      </x:bottom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bottom style="medium">
        <x:color rgb="FF17365D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0" borderId="0" xfId="0" applyNumberFormat="1" applyFont="1" applyFill="1" applyBorder="1"/>
    <x:xf numFmtId="200" fontId="0" fillId="0" borderId="0" xfId="0" applyNumberFormat="1" applyFont="1" applyFill="1" applyBorder="1"/>
    <x:xf numFmtId="0" fontId="3" fillId="0" borderId="2" xfId="0" applyNumberFormat="1" applyFont="1" applyFill="1" applyBorder="1"/>
    <x:xf numFmtId="200" fontId="0" fillId="0" borderId="2" xfId="0" applyNumberFormat="1" applyFont="1" applyFill="1" applyBorder="1"/>
    <x:xf numFmtId="0" fontId="3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/>
    </x:xf>
    <x:xf numFmtId="201" fontId="6" fillId="4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2" fontId="6" fillId="4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4" fontId="6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8" fillId="2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548235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548235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  <x:dxf>
      <x:font>
        <x:b/>
        <x:color rgb="FF548235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cafc21414f4a3d" /><Relationship Type="http://schemas.openxmlformats.org/officeDocument/2006/relationships/theme" Target="/xl/theme/theme1.xml" Id="R2d2f868e490c4029" /><Relationship Type="http://schemas.microsoft.com/office/2022/11/relationships/FeaturePropertyBag" Target="/xl/featurePropertyBag/featurePropertyBag.xml" Id="Rb1ce332bd4924c35" /><Relationship Type="http://schemas.openxmlformats.org/officeDocument/2006/relationships/sharedStrings" Target="/xl/sharedStrings.xml" Id="Rb92710e2186a43fc" /><Relationship Type="http://schemas.openxmlformats.org/officeDocument/2006/relationships/worksheet" Target="/xl/worksheets/sheet1.xml" Id="R947571f5b67a4bae" /><Relationship Type="http://schemas.openxmlformats.org/officeDocument/2006/relationships/worksheet" Target="/xl/worksheets/sheet2.xml" Id="R61f37f2717d34904" /><Relationship Type="http://schemas.openxmlformats.org/officeDocument/2006/relationships/worksheet" Target="/xl/worksheets/sheet3.xml" Id="R19feb699331e4bd9" /><Relationship Type="http://schemas.openxmlformats.org/officeDocument/2006/relationships/worksheet" Target="/xl/worksheets/sheet4.xml" Id="Rb471ec961a844f53" /><Relationship Type="http://schemas.openxmlformats.org/officeDocument/2006/relationships/worksheet" Target="/xl/worksheets/sheet5.xml" Id="R8ad4a56d66654ac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trizTributaria" displayName="MatrizTributaria" ref="A1:AJ62" headerRowCount="1" totalsRowCount="0" totalsRowShown="0">
  <x:tableColumns count="36">
    <x:tableColumn id="1" name="ID do caso"/>
    <x:tableColumn id="2" name="Categoria"/>
    <x:tableColumn id="3" name="Natureza"/>
    <x:tableColumn id="4" name="Produto"/>
    <x:tableColumn id="5" name="Status revisão"/>
    <x:tableColumn id="6" name="Principal"/>
    <x:tableColumn id="7" name="Valor bruto"/>
    <x:tableColumn id="8" name="Ganho"/>
    <x:tableColumn id="9" name="Data aplicação"/>
    <x:tableColumn id="10" name="Data resgate"/>
    <x:tableColumn id="11" name="Prazo (dias)"/>
    <x:tableColumn id="12" name="Regime / contexto"/>
    <x:tableColumn id="13" name="Vendas no mês"/>
    <x:tableColumn id="14" name="Renda tributável"/>
    <x:tableColumn id="15" name="Pessoa física"/>
    <x:tableColumn id="16" name="Day trade"/>
    <x:tableColumn id="17" name="Imposto motor"/>
    <x:tableColumn id="18" name="Líquido motor"/>
    <x:tableColumn id="19" name="Alíquota motor"/>
    <x:tableColumn id="20" name="Precisão"/>
    <x:tableColumn id="21" name="Regra"/>
    <x:tableColumn id="22" name="Imposto independente"/>
    <x:tableColumn id="23" name="Líquido independente"/>
    <x:tableColumn id="24" name="Alíquota independente"/>
    <x:tableColumn id="25" name="Dif. imposto"/>
    <x:tableColumn id="26" name="Dif. líquido"/>
    <x:tableColumn id="27" name="Dif. alíquota"/>
    <x:tableColumn id="28" name="Tol. monetária"/>
    <x:tableColumn id="29" name="Tol. alíquota"/>
    <x:tableColumn id="30" name="Comparação automática"/>
    <x:tableColumn id="31" name="Fonte IDs"/>
    <x:tableColumn id="32" name="URLs das fontes"/>
    <x:tableColumn id="33" name="Evidência / memória de cálculo"/>
    <x:tableColumn id="34" name="Revisor"/>
    <x:tableColumn id="35" name="Data revisão"/>
    <x:tableColumn id="36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ntesTributarias" displayName="FontesTributarias" ref="A4:F17" headerRowCount="1" totalsRowCount="0" totalsRowShown="0">
  <x:tableColumns count="6">
    <x:tableColumn id="1" name="Categoria"/>
    <x:tableColumn id="2" name="Fonte ID"/>
    <x:tableColumn id="3" name="URL"/>
    <x:tableColumn id="4" name="Acessado em"/>
    <x:tableColumn id="5" name="Uso"/>
    <x:tableColumn id="6" name="Status document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c18ff2768b4e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52efde22e0140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5" hidden="0" customWidth="1"/>
    <x:col min="4" max="4" width="25" hidden="0" customWidth="1"/>
    <x:col min="5" max="5" width="15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3" t="str">
        <x:v>Matriz de Validação Tributária</x:v>
      </x:c>
      <x:c r="B1" s="3" t="str">
        <x:v>Matriz de Validação Tributária</x:v>
      </x:c>
      <x:c r="C1" s="3" t="str">
        <x:v>Matriz de Validação Tributária</x:v>
      </x:c>
      <x:c r="D1" s="3" t="str">
        <x:v>Matriz de Validação Tributária</x:v>
      </x:c>
      <x:c r="E1" s="3" t="str">
        <x:v>Matriz de Validação Tributária</x:v>
      </x:c>
      <x:c r="F1" s="3" t="str">
        <x:v>Matriz de Validação Tributária</x:v>
      </x:c>
      <x:c r="G1" s="3" t="str">
        <x:v>Matriz de Validação Tributária</x:v>
      </x:c>
      <x:c r="H1" s="3" t="str">
        <x:v>Matriz de Validação Tributária</x:v>
      </x:c>
    </x:row>
    <x:row r="2" ht="32" customHeight="1">
      <x:c r="A2" s="3" t="str">
        <x:v>Matriz de Validação Tributária</x:v>
      </x:c>
      <x:c r="B2" s="3" t="str">
        <x:v>Matriz de Validação Tributária</x:v>
      </x:c>
      <x:c r="C2" s="3" t="str">
        <x:v>Matriz de Validação Tributária</x:v>
      </x:c>
      <x:c r="D2" s="3" t="str">
        <x:v>Matriz de Validação Tributária</x:v>
      </x:c>
      <x:c r="E2" s="3" t="str">
        <x:v>Matriz de Validação Tributária</x:v>
      </x:c>
      <x:c r="F2" s="3" t="str">
        <x:v>Matriz de Validação Tributária</x:v>
      </x:c>
      <x:c r="G2" s="3" t="str">
        <x:v>Matriz de Validação Tributária</x:v>
      </x:c>
      <x:c r="H2" s="3" t="str">
        <x:v>Matriz de Validação Tributária</x:v>
      </x:c>
    </x:row>
    <x:row r="3" ht="22" customHeight="1">
      <x:c r="A3" s="4" t="str">
        <x:v>Versão 1.0 | Data-base 2026-07-31 | 61 casos | Valores em BRL</x:v>
      </x:c>
      <x:c r="B3" s="4"/>
      <x:c r="C3" s="4"/>
      <x:c r="D3" s="4"/>
      <x:c r="E3" s="4"/>
      <x:c r="F3" s="4"/>
      <x:c r="G3" s="4"/>
      <x:c r="H3" s="4"/>
    </x:row>
    <x:row r="5">
      <x:c r="A5" s="7" t="str">
        <x:v>Cobertura e andamento</x:v>
      </x:c>
      <x:c r="B5" s="7"/>
      <x:c r="D5" s="7" t="str">
        <x:v>Casos por categoria</x:v>
      </x:c>
      <x:c r="E5" s="7"/>
    </x:row>
    <x:row r="6">
      <x:c r="A6" s="10" t="str">
        <x:v>Casos totais</x:v>
      </x:c>
      <x:c r="B6" s="11" t="n">
        <x:f>COUNTA('Matriz'!$A$2:$A$62)</x:f>
        <x:v>61</x:v>
      </x:c>
      <x:c r="D6" s="8" t="str">
        <x:v>cripto</x:v>
      </x:c>
      <x:c r="E6" s="9" t="n">
        <x:f>COUNTIF('Matriz'!$B$2:$B$62,D6)</x:f>
        <x:v>8</x:v>
      </x:c>
    </x:row>
    <x:row r="7">
      <x:c r="A7" s="12" t="str">
        <x:v>Pendentes</x:v>
      </x:c>
      <x:c r="B7" s="13" t="n">
        <x:f>COUNTIF('Matriz'!$E$2:$E$62,"Pendente")</x:f>
        <x:v>61</x:v>
      </x:c>
      <x:c r="D7" s="8" t="str">
        <x:v>estruturados</x:v>
      </x:c>
      <x:c r="E7" s="9" t="n">
        <x:f>COUNTIF('Matriz'!$B$2:$B$62,D7)</x:f>
        <x:v>8</x:v>
      </x:c>
    </x:row>
    <x:row r="8">
      <x:c r="A8" s="12" t="str">
        <x:v>Validados</x:v>
      </x:c>
      <x:c r="B8" s="13" t="n">
        <x:f>COUNTIF('Matriz'!$E$2:$E$62,"Validado")</x:f>
        <x:v>0</x:v>
      </x:c>
      <x:c r="D8" s="8" t="str">
        <x:v>fundos</x:v>
      </x:c>
      <x:c r="E8" s="9" t="n">
        <x:f>COUNTIF('Matriz'!$B$2:$B$62,D8)</x:f>
        <x:v>11</x:v>
      </x:c>
    </x:row>
    <x:row r="9">
      <x:c r="A9" s="12" t="str">
        <x:v>Divergentes</x:v>
      </x:c>
      <x:c r="B9" s="13" t="n">
        <x:f>COUNTIF('Matriz'!$E$2:$E$62,"Divergente")</x:f>
        <x:v>0</x:v>
      </x:c>
      <x:c r="D9" s="8" t="str">
        <x:v>previdencia</x:v>
      </x:c>
      <x:c r="E9" s="9" t="n">
        <x:f>COUNTIF('Matriz'!$B$2:$B$62,D9)</x:f>
        <x:v>11</x:v>
      </x:c>
    </x:row>
    <x:row r="10">
      <x:c r="A10" s="12" t="str">
        <x:v>Revisão necessária</x:v>
      </x:c>
      <x:c r="B10" s="13" t="n">
        <x:f>COUNTIF('Matriz'!$E$2:$E$62,"Revisão necessária")</x:f>
        <x:v>0</x:v>
      </x:c>
      <x:c r="D10" s="8" t="str">
        <x:v>renda_fixa</x:v>
      </x:c>
      <x:c r="E10" s="9" t="n">
        <x:f>COUNTIF('Matriz'!$B$2:$B$62,D10)</x:f>
        <x:v>13</x:v>
      </x:c>
    </x:row>
    <x:row r="11">
      <x:c r="A11" s="12" t="str">
        <x:v>Regressões críticas</x:v>
      </x:c>
      <x:c r="B11" s="13" t="n">
        <x:f>COUNTIF('Matriz'!$C$2:$C$62,"regressao_implementacao_pendente_revisao_critica")</x:f>
        <x:v>4</x:v>
      </x:c>
      <x:c r="D11" s="8" t="str">
        <x:v>renda_variavel</x:v>
      </x:c>
      <x:c r="E11" s="9" t="n">
        <x:f>COUNTIF('Matriz'!$B$2:$B$62,D11)</x:f>
        <x:v>10</x:v>
      </x:c>
    </x:row>
    <x:row r="12">
      <x:c r="A12" s="12" t="str">
        <x:v>Resultados indeterminados</x:v>
      </x:c>
      <x:c r="B12" s="13" t="n">
        <x:f>COUNTIF('Matriz'!$T$2:$T$62,"indeterminada")</x:f>
        <x:v>5</x:v>
      </x:c>
    </x:row>
    <x:row r="15">
      <x:c r="A15" s="7" t="str">
        <x:v>Leitura correta do arquivo</x:v>
      </x:c>
      <x:c r="B15" s="7"/>
      <x:c r="C15" s="7"/>
      <x:c r="D15" s="7"/>
      <x:c r="E15" s="7"/>
      <x:c r="F15" s="7"/>
      <x:c r="G15" s="7"/>
      <x:c r="H15" s="7"/>
    </x:row>
    <x:row r="16" ht="24" customHeight="1">
      <x:c r="A16" s="14" t="str">
        <x:v>1. Os campos 'Motor' reproduzem as expectativas usadas nos testes automatizados.</x:v>
      </x:c>
      <x:c r="B16" s="14"/>
      <x:c r="C16" s="14"/>
      <x:c r="D16" s="14"/>
      <x:c r="E16" s="14"/>
      <x:c r="F16" s="14"/>
      <x:c r="G16" s="14"/>
      <x:c r="H16" s="14"/>
    </x:row>
    <x:row r="17" ht="24" customHeight="1">
      <x:c r="A17" s="14" t="str">
        <x:v>2. Os campos amarelos da Matriz devem ser preenchidos por cálculo independente.</x:v>
      </x:c>
      <x:c r="B17" s="14"/>
      <x:c r="C17" s="14"/>
      <x:c r="D17" s="14"/>
      <x:c r="E17" s="14"/>
      <x:c r="F17" s="14"/>
      <x:c r="G17" s="14"/>
      <x:c r="H17" s="14"/>
    </x:row>
    <x:row r="18" ht="24" customHeight="1">
      <x:c r="A18" s="14" t="str">
        <x:v>3. 'Validado' exige evidência, fonte e revisão; não marque apenas porque a diferença é zero.</x:v>
      </x:c>
      <x:c r="B18" s="14"/>
      <x:c r="C18" s="14"/>
      <x:c r="D18" s="14"/>
      <x:c r="E18" s="14"/>
      <x:c r="F18" s="14"/>
      <x:c r="G18" s="14"/>
      <x:c r="H18" s="14"/>
    </x:row>
    <x:row r="19" ht="24" customHeight="1">
      <x:c r="A19" s="14" t="str">
        <x:v>4. Casos indeterminados exigem análise manual e não aceitam comparação numérica automática.</x:v>
      </x:c>
      <x:c r="B19" s="14"/>
      <x:c r="C19" s="14"/>
      <x:c r="D19" s="14"/>
      <x:c r="E19" s="14"/>
      <x:c r="F19" s="14"/>
      <x:c r="G19" s="14"/>
      <x:c r="H19" s="14"/>
    </x:row>
    <x:row r="20" ht="24" customHeight="1">
      <x:c r="A20" s="14" t="str">
        <x:v>5. Esta planilha não substitui orientação de contador, advogado tributarista ou ato oficial.</x:v>
      </x:c>
      <x:c r="B20" s="14"/>
      <x:c r="C20" s="14"/>
      <x:c r="D20" s="14"/>
      <x:c r="E20" s="14"/>
      <x:c r="F20" s="14"/>
      <x:c r="G20" s="14"/>
      <x:c r="H20" s="14"/>
    </x:row>
    <x:row r="22">
      <x:c r="A22" s="7" t="str">
        <x:v>Status do modelo</x:v>
      </x:c>
      <x:c r="B22" s="7"/>
      <x:c r="C22" s="7"/>
      <x:c r="D22" s="7"/>
      <x:c r="E22" s="7"/>
      <x:c r="F22" s="7"/>
      <x:c r="G22" s="7"/>
      <x:c r="H22" s="7"/>
    </x:row>
    <x:row r="23">
      <x:c r="A23" s="15" t="str">
        <x:v>Checks estruturais</x:v>
      </x:c>
      <x:c r="B23" s="16" t="str">
        <x:f>'Checks'!$B$2</x:f>
        <x:v>OK</x:v>
      </x:c>
    </x:row>
    <x:row r="24">
      <x:c r="A24" s="15" t="str">
        <x:v>Validação externa</x:v>
      </x:c>
      <x:c r="B24" s="16" t="str">
        <x:f>IF(B8=0,"Pendente",IF(B8=61,"Concluída","Em andamento"))</x:f>
        <x:v>Pendente</x:v>
      </x:c>
    </x:row>
  </x:sheetData>
  <x:mergeCells>
    <x:mergeCell ref="A1:H2"/>
    <x:mergeCell ref="A3:H3"/>
    <x:mergeCell ref="A5:B5"/>
    <x:mergeCell ref="D5:E5"/>
    <x:mergeCell ref="A15:H15"/>
    <x:mergeCell ref="A16:H16"/>
    <x:mergeCell ref="A17:H17"/>
    <x:mergeCell ref="A18:H18"/>
    <x:mergeCell ref="A19:H19"/>
    <x:mergeCell ref="A20:H20"/>
    <x:mergeCell ref="A22:H22"/>
  </x:mergeCells>
  <x:conditionalFormatting sqref="B6:B12">
    <x:cfRule type="dataBar" priority="1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{A13DC725-2090-3048-2DAF-9FB84E0BB6A8}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A13DC725-2090-3048-2DAF-9FB84E0BB6A8}">
            <x14:dataBar gradient="1">
              <x14:cfvo type="min"/>
              <x14:cfvo type="max"/>
              <x14:fillColor rgb="FF1F4E78"/>
            </x14:dataBar>
          </x14:cfRule>
          <xm:sqref>B6:B12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36" hidden="0" customWidth="1"/>
    <x:col min="4" max="4" width="20" hidden="0" customWidth="1"/>
    <x:col min="5" max="5" width="20" hidden="0" customWidth="1"/>
    <x:col min="6" max="6" width="14" hidden="0" customWidth="1"/>
    <x:col min="7" max="7" width="14" hidden="0" customWidth="1"/>
    <x:col min="8" max="8" width="14" hidden="0" customWidth="1"/>
    <x:col min="9" max="9" width="13" hidden="0" customWidth="1"/>
    <x:col min="10" max="10" width="13" hidden="0" customWidth="1"/>
    <x:col min="11" max="11" width="12" hidden="0" customWidth="1"/>
    <x:col min="12" max="12" width="28" hidden="0" customWidth="1"/>
    <x:col min="13" max="13" width="15" hidden="0" customWidth="1"/>
    <x:col min="14" max="14" width="15" hidden="0" customWidth="1"/>
    <x:col min="15" max="15" width="12" hidden="0" customWidth="1"/>
    <x:col min="16" max="16" width="11" hidden="0" customWidth="1"/>
    <x:col min="17" max="17" width="15" hidden="0" customWidth="1"/>
    <x:col min="18" max="18" width="15" hidden="0" customWidth="1"/>
    <x:col min="19" max="19" width="14" hidden="0" customWidth="1"/>
    <x:col min="20" max="20" width="20" hidden="0" customWidth="1"/>
    <x:col min="21" max="21" width="28" hidden="0" customWidth="1"/>
    <x:col min="22" max="22" width="17" hidden="0" customWidth="1"/>
    <x:col min="23" max="23" width="17" hidden="0" customWidth="1"/>
    <x:col min="24" max="24" width="17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3" hidden="0" customWidth="1"/>
    <x:col min="30" max="30" width="20" hidden="0" customWidth="1"/>
    <x:col min="31" max="31" width="22" hidden="0" customWidth="1"/>
    <x:col min="32" max="32" width="42" hidden="0" customWidth="1"/>
    <x:col min="33" max="33" width="42" hidden="0" customWidth="1"/>
    <x:col min="34" max="34" width="18" hidden="0" customWidth="1"/>
    <x:col min="35" max="35" width="13" hidden="0" customWidth="1"/>
    <x:col min="36" max="36" width="35" hidden="0" customWidth="1"/>
  </x:cols>
  <x:sheetData>
    <x:row r="1" ht="40" customHeight="1">
      <x:c r="A1" s="21" t="str">
        <x:v>ID do caso</x:v>
      </x:c>
      <x:c r="B1" s="21" t="str">
        <x:v>Categoria</x:v>
      </x:c>
      <x:c r="C1" s="21" t="str">
        <x:v>Natureza</x:v>
      </x:c>
      <x:c r="D1" s="21" t="str">
        <x:v>Produto</x:v>
      </x:c>
      <x:c r="E1" s="21" t="str">
        <x:v>Status revisão</x:v>
      </x:c>
      <x:c r="F1" s="21" t="str">
        <x:v>Principal</x:v>
      </x:c>
      <x:c r="G1" s="21" t="str">
        <x:v>Valor bruto</x:v>
      </x:c>
      <x:c r="H1" s="21" t="str">
        <x:v>Ganho</x:v>
      </x:c>
      <x:c r="I1" s="21" t="str">
        <x:v>Data aplicação</x:v>
      </x:c>
      <x:c r="J1" s="21" t="str">
        <x:v>Data resgate</x:v>
      </x:c>
      <x:c r="K1" s="21" t="str">
        <x:v>Prazo (dias)</x:v>
      </x:c>
      <x:c r="L1" s="21" t="str">
        <x:v>Regime / contexto</x:v>
      </x:c>
      <x:c r="M1" s="21" t="str">
        <x:v>Vendas no mês</x:v>
      </x:c>
      <x:c r="N1" s="21" t="str">
        <x:v>Renda tributável</x:v>
      </x:c>
      <x:c r="O1" s="21" t="str">
        <x:v>Pessoa física</x:v>
      </x:c>
      <x:c r="P1" s="21" t="str">
        <x:v>Day trade</x:v>
      </x:c>
      <x:c r="Q1" s="21" t="str">
        <x:v>Imposto motor</x:v>
      </x:c>
      <x:c r="R1" s="21" t="str">
        <x:v>Líquido motor</x:v>
      </x:c>
      <x:c r="S1" s="21" t="str">
        <x:v>Alíquota motor</x:v>
      </x:c>
      <x:c r="T1" s="21" t="str">
        <x:v>Precisão</x:v>
      </x:c>
      <x:c r="U1" s="21" t="str">
        <x:v>Regra</x:v>
      </x:c>
      <x:c r="V1" s="21" t="str">
        <x:v>Imposto independente</x:v>
      </x:c>
      <x:c r="W1" s="21" t="str">
        <x:v>Líquido independente</x:v>
      </x:c>
      <x:c r="X1" s="21" t="str">
        <x:v>Alíquota independente</x:v>
      </x:c>
      <x:c r="Y1" s="21" t="str">
        <x:v>Dif. imposto</x:v>
      </x:c>
      <x:c r="Z1" s="21" t="str">
        <x:v>Dif. líquido</x:v>
      </x:c>
      <x:c r="AA1" s="21" t="str">
        <x:v>Dif. alíquota</x:v>
      </x:c>
      <x:c r="AB1" s="21" t="str">
        <x:v>Tol. monetária</x:v>
      </x:c>
      <x:c r="AC1" s="21" t="str">
        <x:v>Tol. alíquota</x:v>
      </x:c>
      <x:c r="AD1" s="21" t="str">
        <x:v>Comparação automática</x:v>
      </x:c>
      <x:c r="AE1" s="21" t="str">
        <x:v>Fonte IDs</x:v>
      </x:c>
      <x:c r="AF1" s="21" t="str">
        <x:v>URLs das fontes</x:v>
      </x:c>
      <x:c r="AG1" s="21" t="str">
        <x:v>Evidência / memória de cálculo</x:v>
      </x:c>
      <x:c r="AH1" s="21" t="str">
        <x:v>Revisor</x:v>
      </x:c>
      <x:c r="AI1" s="21" t="str">
        <x:v>Data revisão</x:v>
      </x:c>
      <x:c r="AJ1" s="21" t="str">
        <x:v>Observações</x:v>
      </x:c>
    </x:row>
    <x:row r="2">
      <x:c r="A2" s="26" t="str">
        <x:v>cripto_sem_jurisdicao</x:v>
      </x:c>
      <x:c r="B2" s="26" t="str">
        <x:v>cripto</x:v>
      </x:c>
      <x:c r="C2" s="30" t="str">
        <x:v>validacao_de_indeterminacao</x:v>
      </x:c>
      <x:c r="D2" s="30" t="str">
        <x:v>cripto</x:v>
      </x:c>
      <x:c r="E2" s="31" t="str">
        <x:v>Pendente</x:v>
      </x:c>
      <x:c r="F2" s="33" t="n">
        <x:v>10000</x:v>
      </x:c>
      <x:c r="G2" s="33" t="n">
        <x:v>11000</x:v>
      </x:c>
      <x:c r="H2" s="33" t="n">
        <x:f>MAX(0,G2-F2)</x:f>
        <x:v>1000</x:v>
      </x:c>
      <x:c r="I2" s="38" t="n">
        <x:v>46023.5</x:v>
      </x:c>
      <x:c r="J2" s="38" t="n">
        <x:v>46204.5</x:v>
      </x:c>
      <x:c r="K2" s="40" t="n">
        <x:f>J2-I2</x:f>
        <x:v>181</x:v>
      </x:c>
      <x:c r="L2" s="30" t="str"/>
      <x:c r="M2" s="33"/>
      <x:c r="N2" s="33"/>
      <x:c r="O2" s="28" t="b">
        <x:v>1</x:v>
      </x:c>
      <x:c r="P2" s="28" t="b">
        <x:v>0</x:v>
      </x:c>
      <x:c r="Q2" s="33"/>
      <x:c r="R2" s="33"/>
      <x:c r="S2" s="35"/>
      <x:c r="T2" s="26" t="str">
        <x:v>indeterminada</x:v>
      </x:c>
      <x:c r="U2" s="26" t="str">
        <x:v>cripto_jurisdicao_indeterminada</x:v>
      </x:c>
      <x:c r="V2" s="34"/>
      <x:c r="W2" s="34"/>
      <x:c r="X2" s="36"/>
      <x:c r="Y2" s="33" t="str">
        <x:f>IF(V2="","",V2-Q2)</x:f>
      </x:c>
      <x:c r="Z2" s="33" t="str">
        <x:f>IF(W2="","",W2-R2)</x:f>
      </x:c>
      <x:c r="AA2" s="35" t="str">
        <x:f>IF(X2="","",X2-S2)</x:f>
      </x:c>
      <x:c r="AB2" s="37" t="n">
        <x:v>0.01</x:v>
      </x:c>
      <x:c r="AC2" s="35" t="n">
        <x:v>1e-9</x:v>
      </x:c>
      <x:c r="AD2" s="26" t="str">
        <x:f>IF(OR(V2="",W2="",X2=""),"Pendente",IF(AND(ABS(Y2)&lt;=AB2,ABS(Z2)&lt;=AB2,ABS(AA2)&lt;=AC2),"Confere","Diverge"))</x:f>
        <x:v>Pendente</x:v>
      </x:c>
      <x:c r="AE2" s="26" t="str">
        <x:v>receita_criptoativos</x:v>
      </x:c>
      <x:c r="AF2" s="32" t="str">
        <x:v>https://www.gov.br/receitafederal/pt-br/assuntos/orientacao-tributaria/declaracoes-e-demonstrativos/criptoativos</x:v>
      </x:c>
      <x:c r="AG2" s="31"/>
      <x:c r="AH2" s="31"/>
      <x:c r="AI2" s="39"/>
      <x:c r="AJ2" s="31"/>
    </x:row>
    <x:row r="3">
      <x:c r="A3" s="26" t="str">
        <x:v>cripto_brasil_ganho_1000</x:v>
      </x:c>
      <x:c r="B3" s="26" t="str">
        <x:v>cripto</x:v>
      </x:c>
      <x:c r="C3" s="30" t="str">
        <x:v>regressao_implementacao_pendente_revisao</x:v>
      </x:c>
      <x:c r="D3" s="30" t="str">
        <x:v>cripto</x:v>
      </x:c>
      <x:c r="E3" s="31" t="str">
        <x:v>Pendente</x:v>
      </x:c>
      <x:c r="F3" s="33" t="n">
        <x:v>10000</x:v>
      </x:c>
      <x:c r="G3" s="33" t="n">
        <x:v>11000</x:v>
      </x:c>
      <x:c r="H3" s="33" t="n">
        <x:f>MAX(0,G3-F3)</x:f>
        <x:v>1000</x:v>
      </x:c>
      <x:c r="I3" s="38" t="n">
        <x:v>46023.5</x:v>
      </x:c>
      <x:c r="J3" s="38" t="n">
        <x:v>46204.5</x:v>
      </x:c>
      <x:c r="K3" s="40" t="n">
        <x:f>J3-I3</x:f>
        <x:v>181</x:v>
      </x:c>
      <x:c r="L3" s="30" t="str">
        <x:v>metadados={"jurisdicao_custodia":"brasil"}</x:v>
      </x:c>
      <x:c r="M3" s="33"/>
      <x:c r="N3" s="33"/>
      <x:c r="O3" s="28" t="b">
        <x:v>1</x:v>
      </x:c>
      <x:c r="P3" s="28" t="b">
        <x:v>0</x:v>
      </x:c>
      <x:c r="Q3" s="33" t="n">
        <x:v>150</x:v>
      </x:c>
      <x:c r="R3" s="33" t="n">
        <x:v>10850</x:v>
      </x:c>
      <x:c r="S3" s="35" t="n">
        <x:v>0.15</x:v>
      </x:c>
      <x:c r="T3" s="26" t="str">
        <x:v>estimada</x:v>
      </x:c>
      <x:c r="U3" s="26" t="str">
        <x:v>cripto_ganho_capital_brasil_2026</x:v>
      </x:c>
      <x:c r="V3" s="34"/>
      <x:c r="W3" s="34"/>
      <x:c r="X3" s="36"/>
      <x:c r="Y3" s="33" t="str">
        <x:f>IF(V3="","",V3-Q3)</x:f>
      </x:c>
      <x:c r="Z3" s="33" t="str">
        <x:f>IF(W3="","",W3-R3)</x:f>
      </x:c>
      <x:c r="AA3" s="35" t="str">
        <x:f>IF(X3="","",X3-S3)</x:f>
      </x:c>
      <x:c r="AB3" s="37" t="n">
        <x:v>0.01</x:v>
      </x:c>
      <x:c r="AC3" s="35" t="n">
        <x:v>1e-9</x:v>
      </x:c>
      <x:c r="AD3" s="26" t="str">
        <x:f>IF(OR(V3="",W3="",X3=""),"Pendente",IF(AND(ABS(Y3)&lt;=AB3,ABS(Z3)&lt;=AB3,ABS(AA3)&lt;=AC3),"Confere","Diverge"))</x:f>
        <x:v>Pendente</x:v>
      </x:c>
      <x:c r="AE3" s="26" t="str">
        <x:v>receita_ganho_capital, receita_criptoativos</x:v>
      </x:c>
      <x:c r="AF3" s="32" t="str">
        <x:v>https://www.gov.br/receitafederal/pt-br/assuntos/meu-imposto-de-renda/pagamento/ganhos-de-capital
https://www.gov.br/receitafederal/pt-br/assuntos/orientacao-tributaria/declaracoes-e-demonstrativos/criptoativos</x:v>
      </x:c>
      <x:c r="AG3" s="31"/>
      <x:c r="AH3" s="31"/>
      <x:c r="AI3" s="39"/>
      <x:c r="AJ3" s="31"/>
    </x:row>
    <x:row r="4">
      <x:c r="A4" s="26" t="str">
        <x:v>cripto_exterior_ganho_1000</x:v>
      </x:c>
      <x:c r="B4" s="26" t="str">
        <x:v>cripto</x:v>
      </x:c>
      <x:c r="C4" s="30" t="str">
        <x:v>regressao_implementacao_pendente_revisao_critica</x:v>
      </x:c>
      <x:c r="D4" s="30" t="str">
        <x:v>cripto</x:v>
      </x:c>
      <x:c r="E4" s="31" t="str">
        <x:v>Pendente</x:v>
      </x:c>
      <x:c r="F4" s="33" t="n">
        <x:v>10000</x:v>
      </x:c>
      <x:c r="G4" s="33" t="n">
        <x:v>11000</x:v>
      </x:c>
      <x:c r="H4" s="33" t="n">
        <x:f>MAX(0,G4-F4)</x:f>
        <x:v>1000</x:v>
      </x:c>
      <x:c r="I4" s="38" t="n">
        <x:v>46023.5</x:v>
      </x:c>
      <x:c r="J4" s="38" t="n">
        <x:v>46204.5</x:v>
      </x:c>
      <x:c r="K4" s="40" t="n">
        <x:f>J4-I4</x:f>
        <x:v>181</x:v>
      </x:c>
      <x:c r="L4" s="30" t="str">
        <x:v>metadados={"jurisdicao_custodia":"exterior"}</x:v>
      </x:c>
      <x:c r="M4" s="33"/>
      <x:c r="N4" s="33"/>
      <x:c r="O4" s="28" t="b">
        <x:v>1</x:v>
      </x:c>
      <x:c r="P4" s="28" t="b">
        <x:v>0</x:v>
      </x:c>
      <x:c r="Q4" s="33" t="n">
        <x:v>150</x:v>
      </x:c>
      <x:c r="R4" s="33" t="n">
        <x:v>10850</x:v>
      </x:c>
      <x:c r="S4" s="35" t="n">
        <x:v>0.15</x:v>
      </x:c>
      <x:c r="T4" s="26" t="str">
        <x:v>estimada</x:v>
      </x:c>
      <x:c r="U4" s="26" t="str">
        <x:v>cripto_ganho_capital_exterior_2026</x:v>
      </x:c>
      <x:c r="V4" s="34"/>
      <x:c r="W4" s="34"/>
      <x:c r="X4" s="36"/>
      <x:c r="Y4" s="33" t="str">
        <x:f>IF(V4="","",V4-Q4)</x:f>
      </x:c>
      <x:c r="Z4" s="33" t="str">
        <x:f>IF(W4="","",W4-R4)</x:f>
      </x:c>
      <x:c r="AA4" s="35" t="str">
        <x:f>IF(X4="","",X4-S4)</x:f>
      </x:c>
      <x:c r="AB4" s="37" t="n">
        <x:v>0.01</x:v>
      </x:c>
      <x:c r="AC4" s="35" t="n">
        <x:v>1e-9</x:v>
      </x:c>
      <x:c r="AD4" s="26" t="str">
        <x:f>IF(OR(V4="",W4="",X4=""),"Pendente",IF(AND(ABS(Y4)&lt;=AB4,ABS(Z4)&lt;=AB4,ABS(AA4)&lt;=AC4),"Confere","Diverge"))</x:f>
        <x:v>Pendente</x:v>
      </x:c>
      <x:c r="AE4" s="26" t="str">
        <x:v>receita_ganho_capital, receita_criptoativos</x:v>
      </x:c>
      <x:c r="AF4" s="32" t="str">
        <x:v>https://www.gov.br/receitafederal/pt-br/assuntos/meu-imposto-de-renda/pagamento/ganhos-de-capital
https://www.gov.br/receitafederal/pt-br/assuntos/orientacao-tributaria/declaracoes-e-demonstrativos/criptoativos</x:v>
      </x:c>
      <x:c r="AG4" s="31"/>
      <x:c r="AH4" s="31"/>
      <x:c r="AI4" s="39"/>
      <x:c r="AJ4" s="31"/>
    </x:row>
    <x:row r="5">
      <x:c r="A5" s="26" t="str">
        <x:v>cripto_isencao_confirmada_externamente</x:v>
      </x:c>
      <x:c r="B5" s="26" t="str">
        <x:v>cripto</x:v>
      </x:c>
      <x:c r="C5" s="30" t="str">
        <x:v>validacao_de_premissa_usuario</x:v>
      </x:c>
      <x:c r="D5" s="30" t="str">
        <x:v>cripto</x:v>
      </x:c>
      <x:c r="E5" s="31" t="str">
        <x:v>Pendente</x:v>
      </x:c>
      <x:c r="F5" s="33" t="n">
        <x:v>10000</x:v>
      </x:c>
      <x:c r="G5" s="33" t="n">
        <x:v>11000</x:v>
      </x:c>
      <x:c r="H5" s="33" t="n">
        <x:f>MAX(0,G5-F5)</x:f>
        <x:v>1000</x:v>
      </x:c>
      <x:c r="I5" s="38" t="n">
        <x:v>46023.5</x:v>
      </x:c>
      <x:c r="J5" s="38" t="n">
        <x:v>46204.5</x:v>
      </x:c>
      <x:c r="K5" s="40" t="n">
        <x:f>J5-I5</x:f>
        <x:v>181</x:v>
      </x:c>
      <x:c r="L5" s="30" t="str">
        <x:v>metadados={"jurisdicao_custodia":"brasil","isencao_confirmada":true}</x:v>
      </x:c>
      <x:c r="M5" s="33"/>
      <x:c r="N5" s="33"/>
      <x:c r="O5" s="28" t="b">
        <x:v>1</x:v>
      </x:c>
      <x:c r="P5" s="28" t="b">
        <x:v>0</x:v>
      </x:c>
      <x:c r="Q5" s="33" t="n">
        <x:v>0</x:v>
      </x:c>
      <x:c r="R5" s="33" t="n">
        <x:v>11000</x:v>
      </x:c>
      <x:c r="S5" s="35" t="n">
        <x:v>0</x:v>
      </x:c>
      <x:c r="T5" s="26" t="str">
        <x:v>estimada</x:v>
      </x:c>
      <x:c r="U5" s="26" t="str">
        <x:v>cripto_isencao_informada_2026</x:v>
      </x:c>
      <x:c r="V5" s="34"/>
      <x:c r="W5" s="34"/>
      <x:c r="X5" s="36"/>
      <x:c r="Y5" s="33" t="str">
        <x:f>IF(V5="","",V5-Q5)</x:f>
      </x:c>
      <x:c r="Z5" s="33" t="str">
        <x:f>IF(W5="","",W5-R5)</x:f>
      </x:c>
      <x:c r="AA5" s="35" t="str">
        <x:f>IF(X5="","",X5-S5)</x:f>
      </x:c>
      <x:c r="AB5" s="37" t="n">
        <x:v>0.01</x:v>
      </x:c>
      <x:c r="AC5" s="35" t="n">
        <x:v>1e-9</x:v>
      </x:c>
      <x:c r="AD5" s="26" t="str">
        <x:f>IF(OR(V5="",W5="",X5=""),"Pendente",IF(AND(ABS(Y5)&lt;=AB5,ABS(Z5)&lt;=AB5,ABS(AA5)&lt;=AC5),"Confere","Diverge"))</x:f>
        <x:v>Pendente</x:v>
      </x:c>
      <x:c r="AE5" s="26" t="str">
        <x:v>receita_criptoativos</x:v>
      </x:c>
      <x:c r="AF5" s="32" t="str">
        <x:v>https://www.gov.br/receitafederal/pt-br/assuntos/orientacao-tributaria/declaracoes-e-demonstrativos/criptoativos</x:v>
      </x:c>
      <x:c r="AG5" s="31"/>
      <x:c r="AH5" s="31"/>
      <x:c r="AI5" s="39"/>
      <x:c r="AJ5" s="31"/>
    </x:row>
    <x:row r="6">
      <x:c r="A6" s="26" t="str">
        <x:v>cripto_sem_ganho</x:v>
      </x:c>
      <x:c r="B6" s="26" t="str">
        <x:v>cripto</x:v>
      </x:c>
      <x:c r="C6" s="30" t="str">
        <x:v>regressao_implementacao_pendente_revisao</x:v>
      </x:c>
      <x:c r="D6" s="30" t="str">
        <x:v>cripto</x:v>
      </x:c>
      <x:c r="E6" s="31" t="str">
        <x:v>Pendente</x:v>
      </x:c>
      <x:c r="F6" s="33" t="n">
        <x:v>10000</x:v>
      </x:c>
      <x:c r="G6" s="33" t="n">
        <x:v>10000</x:v>
      </x:c>
      <x:c r="H6" s="33" t="n">
        <x:f>MAX(0,G6-F6)</x:f>
        <x:v>0</x:v>
      </x:c>
      <x:c r="I6" s="38" t="n">
        <x:v>46023.5</x:v>
      </x:c>
      <x:c r="J6" s="38" t="n">
        <x:v>46204.5</x:v>
      </x:c>
      <x:c r="K6" s="40" t="n">
        <x:f>J6-I6</x:f>
        <x:v>181</x:v>
      </x:c>
      <x:c r="L6" s="30" t="str">
        <x:v>metadados={"jurisdicao_custodia":"brasil"}</x:v>
      </x:c>
      <x:c r="M6" s="33"/>
      <x:c r="N6" s="33"/>
      <x:c r="O6" s="28" t="b">
        <x:v>1</x:v>
      </x:c>
      <x:c r="P6" s="28" t="b">
        <x:v>0</x:v>
      </x:c>
      <x:c r="Q6" s="33" t="n">
        <x:v>0</x:v>
      </x:c>
      <x:c r="R6" s="33" t="n">
        <x:v>10000</x:v>
      </x:c>
      <x:c r="S6" s="35" t="n">
        <x:v>0</x:v>
      </x:c>
      <x:c r="T6" s="26" t="str">
        <x:v>estimada</x:v>
      </x:c>
      <x:c r="U6" s="26" t="str">
        <x:v>cripto_ganho_capital_brasil_2026</x:v>
      </x:c>
      <x:c r="V6" s="34"/>
      <x:c r="W6" s="34"/>
      <x:c r="X6" s="36"/>
      <x:c r="Y6" s="33" t="str">
        <x:f>IF(V6="","",V6-Q6)</x:f>
      </x:c>
      <x:c r="Z6" s="33" t="str">
        <x:f>IF(W6="","",W6-R6)</x:f>
      </x:c>
      <x:c r="AA6" s="35" t="str">
        <x:f>IF(X6="","",X6-S6)</x:f>
      </x:c>
      <x:c r="AB6" s="37" t="n">
        <x:v>0.01</x:v>
      </x:c>
      <x:c r="AC6" s="35" t="n">
        <x:v>1e-9</x:v>
      </x:c>
      <x:c r="AD6" s="26" t="str">
        <x:f>IF(OR(V6="",W6="",X6=""),"Pendente",IF(AND(ABS(Y6)&lt;=AB6,ABS(Z6)&lt;=AB6,ABS(AA6)&lt;=AC6),"Confere","Diverge"))</x:f>
        <x:v>Pendente</x:v>
      </x:c>
      <x:c r="AE6" s="26" t="str">
        <x:v>receita_ganho_capital</x:v>
      </x:c>
      <x:c r="AF6" s="32" t="str">
        <x:v>https://www.gov.br/receitafederal/pt-br/assuntos/meu-imposto-de-renda/pagamento/ganhos-de-capital</x:v>
      </x:c>
      <x:c r="AG6" s="31"/>
      <x:c r="AH6" s="31"/>
      <x:c r="AI6" s="39"/>
      <x:c r="AJ6" s="31"/>
    </x:row>
    <x:row r="7">
      <x:c r="A7" s="26" t="str">
        <x:v>cripto_ganho_acumulado_cruza_5_milhoes</x:v>
      </x:c>
      <x:c r="B7" s="26" t="str">
        <x:v>cripto</x:v>
      </x:c>
      <x:c r="C7" s="30" t="str">
        <x:v>regressao_implementacao_pendente_revisao_critica</x:v>
      </x:c>
      <x:c r="D7" s="30" t="str">
        <x:v>cripto</x:v>
      </x:c>
      <x:c r="E7" s="31" t="str">
        <x:v>Pendente</x:v>
      </x:c>
      <x:c r="F7" s="33" t="n">
        <x:v>10000000</x:v>
      </x:c>
      <x:c r="G7" s="33" t="n">
        <x:v>12000000</x:v>
      </x:c>
      <x:c r="H7" s="33" t="n">
        <x:f>MAX(0,G7-F7)</x:f>
        <x:v>2000000</x:v>
      </x:c>
      <x:c r="I7" s="38" t="n">
        <x:v>46023.5</x:v>
      </x:c>
      <x:c r="J7" s="38" t="n">
        <x:v>46204.5</x:v>
      </x:c>
      <x:c r="K7" s="40" t="n">
        <x:f>J7-I7</x:f>
        <x:v>181</x:v>
      </x:c>
      <x:c r="L7" s="30" t="str">
        <x:v>metadados={"jurisdicao_custodia":"brasil","ganho_acumulado_ano":6000000}</x:v>
      </x:c>
      <x:c r="M7" s="33"/>
      <x:c r="N7" s="33"/>
      <x:c r="O7" s="28" t="b">
        <x:v>1</x:v>
      </x:c>
      <x:c r="P7" s="28" t="b">
        <x:v>0</x:v>
      </x:c>
      <x:c r="Q7" s="33" t="n">
        <x:v>325000</x:v>
      </x:c>
      <x:c r="R7" s="33" t="n">
        <x:v>11675000</x:v>
      </x:c>
      <x:c r="S7" s="35" t="n">
        <x:v>0.1625</x:v>
      </x:c>
      <x:c r="T7" s="26" t="str">
        <x:v>estimada</x:v>
      </x:c>
      <x:c r="U7" s="26" t="str">
        <x:v>cripto_ganho_capital_brasil_2026</x:v>
      </x:c>
      <x:c r="V7" s="34"/>
      <x:c r="W7" s="34"/>
      <x:c r="X7" s="36"/>
      <x:c r="Y7" s="33" t="str">
        <x:f>IF(V7="","",V7-Q7)</x:f>
      </x:c>
      <x:c r="Z7" s="33" t="str">
        <x:f>IF(W7="","",W7-R7)</x:f>
      </x:c>
      <x:c r="AA7" s="35" t="str">
        <x:f>IF(X7="","",X7-S7)</x:f>
      </x:c>
      <x:c r="AB7" s="37" t="n">
        <x:v>0.01</x:v>
      </x:c>
      <x:c r="AC7" s="35" t="n">
        <x:v>1e-9</x:v>
      </x:c>
      <x:c r="AD7" s="26" t="str">
        <x:f>IF(OR(V7="",W7="",X7=""),"Pendente",IF(AND(ABS(Y7)&lt;=AB7,ABS(Z7)&lt;=AB7,ABS(AA7)&lt;=AC7),"Confere","Diverge"))</x:f>
        <x:v>Pendente</x:v>
      </x:c>
      <x:c r="AE7" s="26" t="str">
        <x:v>receita_ganho_capital</x:v>
      </x:c>
      <x:c r="AF7" s="32" t="str">
        <x:v>https://www.gov.br/receitafederal/pt-br/assuntos/meu-imposto-de-renda/pagamento/ganhos-de-capital</x:v>
      </x:c>
      <x:c r="AG7" s="31"/>
      <x:c r="AH7" s="31"/>
      <x:c r="AI7" s="39"/>
      <x:c r="AJ7" s="31"/>
    </x:row>
    <x:row r="8">
      <x:c r="A8" s="26" t="str">
        <x:v>cripto_ganho_total_5_milhoes</x:v>
      </x:c>
      <x:c r="B8" s="26" t="str">
        <x:v>cripto</x:v>
      </x:c>
      <x:c r="C8" s="30" t="str">
        <x:v>regressao_implementacao_pendente_revisao_critica</x:v>
      </x:c>
      <x:c r="D8" s="30" t="str">
        <x:v>cripto</x:v>
      </x:c>
      <x:c r="E8" s="31" t="str">
        <x:v>Pendente</x:v>
      </x:c>
      <x:c r="F8" s="33" t="n">
        <x:v>1000000</x:v>
      </x:c>
      <x:c r="G8" s="33" t="n">
        <x:v>6000000</x:v>
      </x:c>
      <x:c r="H8" s="33" t="n">
        <x:f>MAX(0,G8-F8)</x:f>
        <x:v>5000000</x:v>
      </x:c>
      <x:c r="I8" s="38" t="n">
        <x:v>46023.5</x:v>
      </x:c>
      <x:c r="J8" s="38" t="n">
        <x:v>46204.5</x:v>
      </x:c>
      <x:c r="K8" s="40" t="n">
        <x:f>J8-I8</x:f>
        <x:v>181</x:v>
      </x:c>
      <x:c r="L8" s="30" t="str">
        <x:v>metadados={"jurisdicao_custodia":"brasil"}</x:v>
      </x:c>
      <x:c r="M8" s="33"/>
      <x:c r="N8" s="33"/>
      <x:c r="O8" s="28" t="b">
        <x:v>1</x:v>
      </x:c>
      <x:c r="P8" s="28" t="b">
        <x:v>0</x:v>
      </x:c>
      <x:c r="Q8" s="33" t="n">
        <x:v>750000</x:v>
      </x:c>
      <x:c r="R8" s="33" t="n">
        <x:v>5250000</x:v>
      </x:c>
      <x:c r="S8" s="35" t="n">
        <x:v>0.15</x:v>
      </x:c>
      <x:c r="T8" s="26" t="str">
        <x:v>estimada</x:v>
      </x:c>
      <x:c r="U8" s="26" t="str">
        <x:v>cripto_ganho_capital_brasil_2026</x:v>
      </x:c>
      <x:c r="V8" s="34"/>
      <x:c r="W8" s="34"/>
      <x:c r="X8" s="36"/>
      <x:c r="Y8" s="33" t="str">
        <x:f>IF(V8="","",V8-Q8)</x:f>
      </x:c>
      <x:c r="Z8" s="33" t="str">
        <x:f>IF(W8="","",W8-R8)</x:f>
      </x:c>
      <x:c r="AA8" s="35" t="str">
        <x:f>IF(X8="","",X8-S8)</x:f>
      </x:c>
      <x:c r="AB8" s="37" t="n">
        <x:v>0.01</x:v>
      </x:c>
      <x:c r="AC8" s="35" t="n">
        <x:v>1e-9</x:v>
      </x:c>
      <x:c r="AD8" s="26" t="str">
        <x:f>IF(OR(V8="",W8="",X8=""),"Pendente",IF(AND(ABS(Y8)&lt;=AB8,ABS(Z8)&lt;=AB8,ABS(AA8)&lt;=AC8),"Confere","Diverge"))</x:f>
        <x:v>Pendente</x:v>
      </x:c>
      <x:c r="AE8" s="26" t="str">
        <x:v>receita_ganho_capital</x:v>
      </x:c>
      <x:c r="AF8" s="32" t="str">
        <x:v>https://www.gov.br/receitafederal/pt-br/assuntos/meu-imposto-de-renda/pagamento/ganhos-de-capital</x:v>
      </x:c>
      <x:c r="AG8" s="31"/>
      <x:c r="AH8" s="31"/>
      <x:c r="AI8" s="39"/>
      <x:c r="AJ8" s="31"/>
    </x:row>
    <x:row r="9">
      <x:c r="A9" s="26" t="str">
        <x:v>cripto_ganho_total_12_milhoes</x:v>
      </x:c>
      <x:c r="B9" s="26" t="str">
        <x:v>cripto</x:v>
      </x:c>
      <x:c r="C9" s="30" t="str">
        <x:v>regressao_implementacao_pendente_revisao_critica</x:v>
      </x:c>
      <x:c r="D9" s="30" t="str">
        <x:v>cripto</x:v>
      </x:c>
      <x:c r="E9" s="31" t="str">
        <x:v>Pendente</x:v>
      </x:c>
      <x:c r="F9" s="33" t="n">
        <x:v>1000000</x:v>
      </x:c>
      <x:c r="G9" s="33" t="n">
        <x:v>13000000</x:v>
      </x:c>
      <x:c r="H9" s="33" t="n">
        <x:f>MAX(0,G9-F9)</x:f>
        <x:v>12000000</x:v>
      </x:c>
      <x:c r="I9" s="38" t="n">
        <x:v>46023.5</x:v>
      </x:c>
      <x:c r="J9" s="38" t="n">
        <x:v>46204.5</x:v>
      </x:c>
      <x:c r="K9" s="40" t="n">
        <x:f>J9-I9</x:f>
        <x:v>181</x:v>
      </x:c>
      <x:c r="L9" s="30" t="str">
        <x:v>metadados={"jurisdicao_custodia":"brasil"}</x:v>
      </x:c>
      <x:c r="M9" s="33"/>
      <x:c r="N9" s="33"/>
      <x:c r="O9" s="28" t="b">
        <x:v>1</x:v>
      </x:c>
      <x:c r="P9" s="28" t="b">
        <x:v>0</x:v>
      </x:c>
      <x:c r="Q9" s="33" t="n">
        <x:v>2025000</x:v>
      </x:c>
      <x:c r="R9" s="33" t="n">
        <x:v>10975000</x:v>
      </x:c>
      <x:c r="S9" s="35" t="n">
        <x:v>0.16875</x:v>
      </x:c>
      <x:c r="T9" s="26" t="str">
        <x:v>estimada</x:v>
      </x:c>
      <x:c r="U9" s="26" t="str">
        <x:v>cripto_ganho_capital_brasil_2026</x:v>
      </x:c>
      <x:c r="V9" s="34"/>
      <x:c r="W9" s="34"/>
      <x:c r="X9" s="36"/>
      <x:c r="Y9" s="33" t="str">
        <x:f>IF(V9="","",V9-Q9)</x:f>
      </x:c>
      <x:c r="Z9" s="33" t="str">
        <x:f>IF(W9="","",W9-R9)</x:f>
      </x:c>
      <x:c r="AA9" s="35" t="str">
        <x:f>IF(X9="","",X9-S9)</x:f>
      </x:c>
      <x:c r="AB9" s="37" t="n">
        <x:v>0.01</x:v>
      </x:c>
      <x:c r="AC9" s="35" t="n">
        <x:v>1e-9</x:v>
      </x:c>
      <x:c r="AD9" s="26" t="str">
        <x:f>IF(OR(V9="",W9="",X9=""),"Pendente",IF(AND(ABS(Y9)&lt;=AB9,ABS(Z9)&lt;=AB9,ABS(AA9)&lt;=AC9),"Confere","Diverge"))</x:f>
        <x:v>Pendente</x:v>
      </x:c>
      <x:c r="AE9" s="26" t="str">
        <x:v>receita_ganho_capital</x:v>
      </x:c>
      <x:c r="AF9" s="32" t="str">
        <x:v>https://www.gov.br/receitafederal/pt-br/assuntos/meu-imposto-de-renda/pagamento/ganhos-de-capital</x:v>
      </x:c>
      <x:c r="AG9" s="31"/>
      <x:c r="AH9" s="31"/>
      <x:c r="AI9" s="39"/>
      <x:c r="AJ9" s="31"/>
    </x:row>
    <x:row r="10">
      <x:c r="A10" s="26" t="str">
        <x:v>cra_pessoa_fisica_isento</x:v>
      </x:c>
      <x:c r="B10" s="26" t="str">
        <x:v>estruturados</x:v>
      </x:c>
      <x:c r="C10" s="30" t="str">
        <x:v>regressao_implementacao_pendente_revisao</x:v>
      </x:c>
      <x:c r="D10" s="30" t="str">
        <x:v>cra</x:v>
      </x:c>
      <x:c r="E10" s="31" t="str">
        <x:v>Pendente</x:v>
      </x:c>
      <x:c r="F10" s="33" t="n">
        <x:v>10000</x:v>
      </x:c>
      <x:c r="G10" s="33" t="n">
        <x:v>11000</x:v>
      </x:c>
      <x:c r="H10" s="33" t="n">
        <x:f>MAX(0,G10-F10)</x:f>
        <x:v>1000</x:v>
      </x:c>
      <x:c r="I10" s="38" t="n">
        <x:v>46023.5</x:v>
      </x:c>
      <x:c r="J10" s="38" t="n">
        <x:v>46744.5</x:v>
      </x:c>
      <x:c r="K10" s="40" t="n">
        <x:f>J10-I10</x:f>
        <x:v>721</x:v>
      </x:c>
      <x:c r="L10" s="30" t="str"/>
      <x:c r="M10" s="33"/>
      <x:c r="N10" s="33"/>
      <x:c r="O10" s="28" t="b">
        <x:v>1</x:v>
      </x:c>
      <x:c r="P10" s="28" t="b">
        <x:v>0</x:v>
      </x:c>
      <x:c r="Q10" s="33" t="n">
        <x:v>0</x:v>
      </x:c>
      <x:c r="R10" s="33" t="n">
        <x:v>11000</x:v>
      </x:c>
      <x:c r="S10" s="35" t="n">
        <x:v>0</x:v>
      </x:c>
      <x:c r="T10" s="26" t="str">
        <x:v>exata_para_premissas</x:v>
      </x:c>
      <x:c r="U10" s="26" t="str">
        <x:v>rf_isenta_pf_2026</x:v>
      </x:c>
      <x:c r="V10" s="34"/>
      <x:c r="W10" s="34"/>
      <x:c r="X10" s="36"/>
      <x:c r="Y10" s="33" t="str">
        <x:f>IF(V10="","",V10-Q10)</x:f>
      </x:c>
      <x:c r="Z10" s="33" t="str">
        <x:f>IF(W10="","",W10-R10)</x:f>
      </x:c>
      <x:c r="AA10" s="35" t="str">
        <x:f>IF(X10="","",X10-S10)</x:f>
      </x:c>
      <x:c r="AB10" s="37" t="n">
        <x:v>0.01</x:v>
      </x:c>
      <x:c r="AC10" s="35" t="n">
        <x:v>1e-9</x:v>
      </x:c>
      <x:c r="AD10" s="26" t="str">
        <x:f>IF(OR(V10="",W10="",X10=""),"Pendente",IF(AND(ABS(Y10)&lt;=AB10,ABS(Z10)&lt;=AB10,ABS(AA10)&lt;=AC10),"Confere","Diverge"))</x:f>
        <x:v>Pendente</x:v>
      </x:c>
      <x:c r="AE10" s="26" t="str">
        <x:v>receita_tabelas_2026</x:v>
      </x:c>
      <x:c r="AF10" s="32" t="str">
        <x:v>https://www.gov.br/receitafederal/pt-br/assuntos/meu-imposto-de-renda/tabelas/2026</x:v>
      </x:c>
      <x:c r="AG10" s="31"/>
      <x:c r="AH10" s="31"/>
      <x:c r="AI10" s="39"/>
      <x:c r="AJ10" s="31"/>
    </x:row>
    <x:row r="11">
      <x:c r="A11" s="26" t="str">
        <x:v>cri_pessoa_fisica_isento</x:v>
      </x:c>
      <x:c r="B11" s="26" t="str">
        <x:v>estruturados</x:v>
      </x:c>
      <x:c r="C11" s="30" t="str">
        <x:v>regressao_implementacao_pendente_revisao</x:v>
      </x:c>
      <x:c r="D11" s="30" t="str">
        <x:v>cri</x:v>
      </x:c>
      <x:c r="E11" s="31" t="str">
        <x:v>Pendente</x:v>
      </x:c>
      <x:c r="F11" s="33" t="n">
        <x:v>10000</x:v>
      </x:c>
      <x:c r="G11" s="33" t="n">
        <x:v>11000</x:v>
      </x:c>
      <x:c r="H11" s="33" t="n">
        <x:f>MAX(0,G11-F11)</x:f>
        <x:v>1000</x:v>
      </x:c>
      <x:c r="I11" s="38" t="n">
        <x:v>46023.5</x:v>
      </x:c>
      <x:c r="J11" s="38" t="n">
        <x:v>46744.5</x:v>
      </x:c>
      <x:c r="K11" s="40" t="n">
        <x:f>J11-I11</x:f>
        <x:v>721</x:v>
      </x:c>
      <x:c r="L11" s="30" t="str"/>
      <x:c r="M11" s="33"/>
      <x:c r="N11" s="33"/>
      <x:c r="O11" s="28" t="b">
        <x:v>1</x:v>
      </x:c>
      <x:c r="P11" s="28" t="b">
        <x:v>0</x:v>
      </x:c>
      <x:c r="Q11" s="33" t="n">
        <x:v>0</x:v>
      </x:c>
      <x:c r="R11" s="33" t="n">
        <x:v>11000</x:v>
      </x:c>
      <x:c r="S11" s="35" t="n">
        <x:v>0</x:v>
      </x:c>
      <x:c r="T11" s="26" t="str">
        <x:v>exata_para_premissas</x:v>
      </x:c>
      <x:c r="U11" s="26" t="str">
        <x:v>rf_isenta_pf_2026</x:v>
      </x:c>
      <x:c r="V11" s="34"/>
      <x:c r="W11" s="34"/>
      <x:c r="X11" s="36"/>
      <x:c r="Y11" s="33" t="str">
        <x:f>IF(V11="","",V11-Q11)</x:f>
      </x:c>
      <x:c r="Z11" s="33" t="str">
        <x:f>IF(W11="","",W11-R11)</x:f>
      </x:c>
      <x:c r="AA11" s="35" t="str">
        <x:f>IF(X11="","",X11-S11)</x:f>
      </x:c>
      <x:c r="AB11" s="37" t="n">
        <x:v>0.01</x:v>
      </x:c>
      <x:c r="AC11" s="35" t="n">
        <x:v>1e-9</x:v>
      </x:c>
      <x:c r="AD11" s="26" t="str">
        <x:f>IF(OR(V11="",W11="",X11=""),"Pendente",IF(AND(ABS(Y11)&lt;=AB11,ABS(Z11)&lt;=AB11,ABS(AA11)&lt;=AC11),"Confere","Diverge"))</x:f>
        <x:v>Pendente</x:v>
      </x:c>
      <x:c r="AE11" s="26" t="str">
        <x:v>receita_tabelas_2026</x:v>
      </x:c>
      <x:c r="AF11" s="32" t="str">
        <x:v>https://www.gov.br/receitafederal/pt-br/assuntos/meu-imposto-de-renda/tabelas/2026</x:v>
      </x:c>
      <x:c r="AG11" s="31"/>
      <x:c r="AH11" s="31"/>
      <x:c r="AI11" s="39"/>
      <x:c r="AJ11" s="31"/>
    </x:row>
    <x:row r="12">
      <x:c r="A12" s="26" t="str">
        <x:v>debenture_incentivada_pf_isenta</x:v>
      </x:c>
      <x:c r="B12" s="26" t="str">
        <x:v>estruturados</x:v>
      </x:c>
      <x:c r="C12" s="30" t="str">
        <x:v>regressao_implementacao_pendente_revisao</x:v>
      </x:c>
      <x:c r="D12" s="30" t="str">
        <x:v>debenture_incentivada</x:v>
      </x:c>
      <x:c r="E12" s="31" t="str">
        <x:v>Pendente</x:v>
      </x:c>
      <x:c r="F12" s="33" t="n">
        <x:v>10000</x:v>
      </x:c>
      <x:c r="G12" s="33" t="n">
        <x:v>11000</x:v>
      </x:c>
      <x:c r="H12" s="33" t="n">
        <x:f>MAX(0,G12-F12)</x:f>
        <x:v>1000</x:v>
      </x:c>
      <x:c r="I12" s="38" t="n">
        <x:v>46023.5</x:v>
      </x:c>
      <x:c r="J12" s="38" t="n">
        <x:v>46744.5</x:v>
      </x:c>
      <x:c r="K12" s="40" t="n">
        <x:f>J12-I12</x:f>
        <x:v>721</x:v>
      </x:c>
      <x:c r="L12" s="30" t="str"/>
      <x:c r="M12" s="33"/>
      <x:c r="N12" s="33"/>
      <x:c r="O12" s="28" t="b">
        <x:v>1</x:v>
      </x:c>
      <x:c r="P12" s="28" t="b">
        <x:v>0</x:v>
      </x:c>
      <x:c r="Q12" s="33" t="n">
        <x:v>0</x:v>
      </x:c>
      <x:c r="R12" s="33" t="n">
        <x:v>11000</x:v>
      </x:c>
      <x:c r="S12" s="35" t="n">
        <x:v>0</x:v>
      </x:c>
      <x:c r="T12" s="26" t="str">
        <x:v>exata_para_premissas</x:v>
      </x:c>
      <x:c r="U12" s="26" t="str">
        <x:v>rf_isenta_pf_2026</x:v>
      </x:c>
      <x:c r="V12" s="34"/>
      <x:c r="W12" s="34"/>
      <x:c r="X12" s="36"/>
      <x:c r="Y12" s="33" t="str">
        <x:f>IF(V12="","",V12-Q12)</x:f>
      </x:c>
      <x:c r="Z12" s="33" t="str">
        <x:f>IF(W12="","",W12-R12)</x:f>
      </x:c>
      <x:c r="AA12" s="35" t="str">
        <x:f>IF(X12="","",X12-S12)</x:f>
      </x:c>
      <x:c r="AB12" s="37" t="n">
        <x:v>0.01</x:v>
      </x:c>
      <x:c r="AC12" s="35" t="n">
        <x:v>1e-9</x:v>
      </x:c>
      <x:c r="AD12" s="26" t="str">
        <x:f>IF(OR(V12="",W12="",X12=""),"Pendente",IF(AND(ABS(Y12)&lt;=AB12,ABS(Z12)&lt;=AB12,ABS(AA12)&lt;=AC12),"Confere","Diverge"))</x:f>
        <x:v>Pendente</x:v>
      </x:c>
      <x:c r="AE12" s="26" t="str">
        <x:v>receita_tabelas_2026</x:v>
      </x:c>
      <x:c r="AF12" s="32" t="str">
        <x:v>https://www.gov.br/receitafederal/pt-br/assuntos/meu-imposto-de-renda/tabelas/2026</x:v>
      </x:c>
      <x:c r="AG12" s="31"/>
      <x:c r="AH12" s="31"/>
      <x:c r="AI12" s="39"/>
      <x:c r="AJ12" s="31"/>
    </x:row>
    <x:row r="13">
      <x:c r="A13" s="26" t="str">
        <x:v>debenture_comum_721_dias</x:v>
      </x:c>
      <x:c r="B13" s="26" t="str">
        <x:v>estruturados</x:v>
      </x:c>
      <x:c r="C13" s="30" t="str">
        <x:v>conformidade_fonte_oficial</x:v>
      </x:c>
      <x:c r="D13" s="30" t="str">
        <x:v>debenture_comum</x:v>
      </x:c>
      <x:c r="E13" s="31" t="str">
        <x:v>Pendente</x:v>
      </x:c>
      <x:c r="F13" s="33" t="n">
        <x:v>10000</x:v>
      </x:c>
      <x:c r="G13" s="33" t="n">
        <x:v>11000</x:v>
      </x:c>
      <x:c r="H13" s="33" t="n">
        <x:f>MAX(0,G13-F13)</x:f>
        <x:v>1000</x:v>
      </x:c>
      <x:c r="I13" s="38" t="n">
        <x:v>46023.5</x:v>
      </x:c>
      <x:c r="J13" s="38" t="n">
        <x:v>46744.5</x:v>
      </x:c>
      <x:c r="K13" s="40" t="n">
        <x:f>J13-I13</x:f>
        <x:v>721</x:v>
      </x:c>
      <x:c r="L13" s="30" t="str"/>
      <x:c r="M13" s="33"/>
      <x:c r="N13" s="33"/>
      <x:c r="O13" s="28" t="b">
        <x:v>1</x:v>
      </x:c>
      <x:c r="P13" s="28" t="b">
        <x:v>0</x:v>
      </x:c>
      <x:c r="Q13" s="33" t="n">
        <x:v>150</x:v>
      </x:c>
      <x:c r="R13" s="33" t="n">
        <x:v>10850</x:v>
      </x:c>
      <x:c r="S13" s="35" t="n">
        <x:v>0.15</x:v>
      </x:c>
      <x:c r="T13" s="26" t="str">
        <x:v>exata_para_premissas</x:v>
      </x:c>
      <x:c r="U13" s="26" t="str">
        <x:v>rf_regressiva_2026</x:v>
      </x:c>
      <x:c r="V13" s="34"/>
      <x:c r="W13" s="34"/>
      <x:c r="X13" s="36"/>
      <x:c r="Y13" s="33" t="str">
        <x:f>IF(V13="","",V13-Q13)</x:f>
      </x:c>
      <x:c r="Z13" s="33" t="str">
        <x:f>IF(W13="","",W13-R13)</x:f>
      </x:c>
      <x:c r="AA13" s="35" t="str">
        <x:f>IF(X13="","",X13-S13)</x:f>
      </x:c>
      <x:c r="AB13" s="37" t="n">
        <x:v>0.01</x:v>
      </x:c>
      <x:c r="AC13" s="35" t="n">
        <x:v>1e-9</x:v>
      </x:c>
      <x:c r="AD13" s="26" t="str">
        <x:f>IF(OR(V13="",W13="",X13=""),"Pendente",IF(AND(ABS(Y13)&lt;=AB13,ABS(Z13)&lt;=AB13,ABS(AA13)&lt;=AC13),"Confere","Diverge"))</x:f>
        <x:v>Pendente</x:v>
      </x:c>
      <x:c r="AE13" s="26" t="str">
        <x:v>receita_tabelas_2026</x:v>
      </x:c>
      <x:c r="AF13" s="32" t="str">
        <x:v>https://www.gov.br/receitafederal/pt-br/assuntos/meu-imposto-de-renda/tabelas/2026</x:v>
      </x:c>
      <x:c r="AG13" s="31"/>
      <x:c r="AH13" s="31"/>
      <x:c r="AI13" s="39"/>
      <x:c r="AJ13" s="31"/>
    </x:row>
    <x:row r="14">
      <x:c r="A14" s="26" t="str">
        <x:v>coe_180_dias</x:v>
      </x:c>
      <x:c r="B14" s="26" t="str">
        <x:v>estruturados</x:v>
      </x:c>
      <x:c r="C14" s="30" t="str">
        <x:v>regressao_implementacao_pendente_revisao</x:v>
      </x:c>
      <x:c r="D14" s="30" t="str">
        <x:v>coe</x:v>
      </x:c>
      <x:c r="E14" s="31" t="str">
        <x:v>Pendente</x:v>
      </x:c>
      <x:c r="F14" s="33" t="n">
        <x:v>10000</x:v>
      </x:c>
      <x:c r="G14" s="33" t="n">
        <x:v>11000</x:v>
      </x:c>
      <x:c r="H14" s="33" t="n">
        <x:f>MAX(0,G14-F14)</x:f>
        <x:v>1000</x:v>
      </x:c>
      <x:c r="I14" s="38" t="n">
        <x:v>46023.5</x:v>
      </x:c>
      <x:c r="J14" s="38" t="n">
        <x:v>46203.5</x:v>
      </x:c>
      <x:c r="K14" s="40" t="n">
        <x:f>J14-I14</x:f>
        <x:v>180</x:v>
      </x:c>
      <x:c r="L14" s="30" t="str"/>
      <x:c r="M14" s="33"/>
      <x:c r="N14" s="33"/>
      <x:c r="O14" s="28" t="b">
        <x:v>1</x:v>
      </x:c>
      <x:c r="P14" s="28" t="b">
        <x:v>0</x:v>
      </x:c>
      <x:c r="Q14" s="33" t="n">
        <x:v>225</x:v>
      </x:c>
      <x:c r="R14" s="33" t="n">
        <x:v>10775</x:v>
      </x:c>
      <x:c r="S14" s="35" t="n">
        <x:v>0.225</x:v>
      </x:c>
      <x:c r="T14" s="26" t="str">
        <x:v>exata_para_premissas</x:v>
      </x:c>
      <x:c r="U14" s="26" t="str">
        <x:v>rf_regressiva_2026</x:v>
      </x:c>
      <x:c r="V14" s="34"/>
      <x:c r="W14" s="34"/>
      <x:c r="X14" s="36"/>
      <x:c r="Y14" s="33" t="str">
        <x:f>IF(V14="","",V14-Q14)</x:f>
      </x:c>
      <x:c r="Z14" s="33" t="str">
        <x:f>IF(W14="","",W14-R14)</x:f>
      </x:c>
      <x:c r="AA14" s="35" t="str">
        <x:f>IF(X14="","",X14-S14)</x:f>
      </x:c>
      <x:c r="AB14" s="37" t="n">
        <x:v>0.01</x:v>
      </x:c>
      <x:c r="AC14" s="35" t="n">
        <x:v>1e-9</x:v>
      </x:c>
      <x:c r="AD14" s="26" t="str">
        <x:f>IF(OR(V14="",W14="",X14=""),"Pendente",IF(AND(ABS(Y14)&lt;=AB14,ABS(Z14)&lt;=AB14,ABS(AA14)&lt;=AC14),"Confere","Diverge"))</x:f>
        <x:v>Pendente</x:v>
      </x:c>
      <x:c r="AE14" s="26" t="str">
        <x:v>receita_tabelas_2026</x:v>
      </x:c>
      <x:c r="AF14" s="32" t="str">
        <x:v>https://www.gov.br/receitafederal/pt-br/assuntos/meu-imposto-de-renda/tabelas/2026</x:v>
      </x:c>
      <x:c r="AG14" s="31"/>
      <x:c r="AH14" s="31"/>
      <x:c r="AI14" s="39"/>
      <x:c r="AJ14" s="31"/>
    </x:row>
    <x:row r="15">
      <x:c r="A15" s="26" t="str">
        <x:v>coe_29_dias_com_iof</x:v>
      </x:c>
      <x:c r="B15" s="26" t="str">
        <x:v>estruturados</x:v>
      </x:c>
      <x:c r="C15" s="30" t="str">
        <x:v>regressao_implementacao_pendente_revisao</x:v>
      </x:c>
      <x:c r="D15" s="30" t="str">
        <x:v>coe</x:v>
      </x:c>
      <x:c r="E15" s="31" t="str">
        <x:v>Pendente</x:v>
      </x:c>
      <x:c r="F15" s="33" t="n">
        <x:v>10000</x:v>
      </x:c>
      <x:c r="G15" s="33" t="n">
        <x:v>11000</x:v>
      </x:c>
      <x:c r="H15" s="33" t="n">
        <x:f>MAX(0,G15-F15)</x:f>
        <x:v>1000</x:v>
      </x:c>
      <x:c r="I15" s="38" t="n">
        <x:v>46023.5</x:v>
      </x:c>
      <x:c r="J15" s="38" t="n">
        <x:v>46052.5</x:v>
      </x:c>
      <x:c r="K15" s="40" t="n">
        <x:f>J15-I15</x:f>
        <x:v>29</x:v>
      </x:c>
      <x:c r="L15" s="30" t="str"/>
      <x:c r="M15" s="33"/>
      <x:c r="N15" s="33"/>
      <x:c r="O15" s="28" t="b">
        <x:v>1</x:v>
      </x:c>
      <x:c r="P15" s="28" t="b">
        <x:v>0</x:v>
      </x:c>
      <x:c r="Q15" s="33" t="n">
        <x:v>248.25</x:v>
      </x:c>
      <x:c r="R15" s="33" t="n">
        <x:v>10751.75</x:v>
      </x:c>
      <x:c r="S15" s="35" t="n">
        <x:v>0.24825</x:v>
      </x:c>
      <x:c r="T15" s="26" t="str">
        <x:v>exata_para_premissas</x:v>
      </x:c>
      <x:c r="U15" s="26" t="str">
        <x:v>rf_regressiva_2026</x:v>
      </x:c>
      <x:c r="V15" s="34"/>
      <x:c r="W15" s="34"/>
      <x:c r="X15" s="36"/>
      <x:c r="Y15" s="33" t="str">
        <x:f>IF(V15="","",V15-Q15)</x:f>
      </x:c>
      <x:c r="Z15" s="33" t="str">
        <x:f>IF(W15="","",W15-R15)</x:f>
      </x:c>
      <x:c r="AA15" s="35" t="str">
        <x:f>IF(X15="","",X15-S15)</x:f>
      </x:c>
      <x:c r="AB15" s="37" t="n">
        <x:v>0.01</x:v>
      </x:c>
      <x:c r="AC15" s="35" t="n">
        <x:v>1e-9</x:v>
      </x:c>
      <x:c r="AD15" s="26" t="str">
        <x:f>IF(OR(V15="",W15="",X15=""),"Pendente",IF(AND(ABS(Y15)&lt;=AB15,ABS(Z15)&lt;=AB15,ABS(AA15)&lt;=AC15),"Confere","Diverge"))</x:f>
        <x:v>Pendente</x:v>
      </x:c>
      <x:c r="AE15" s="26" t="str">
        <x:v>receita_tabelas_2026</x:v>
      </x:c>
      <x:c r="AF15" s="32" t="str">
        <x:v>https://www.gov.br/receitafederal/pt-br/assuntos/meu-imposto-de-renda/tabelas/2026</x:v>
      </x:c>
      <x:c r="AG15" s="31"/>
      <x:c r="AH15" s="31"/>
      <x:c r="AI15" s="39"/>
      <x:c r="AJ15" s="31"/>
    </x:row>
    <x:row r="16">
      <x:c r="A16" s="26" t="str">
        <x:v>cra_pessoa_juridica_nao_isenta</x:v>
      </x:c>
      <x:c r="B16" s="26" t="str">
        <x:v>estruturados</x:v>
      </x:c>
      <x:c r="C16" s="30" t="str">
        <x:v>regressao_implementacao_pendente_revisao</x:v>
      </x:c>
      <x:c r="D16" s="30" t="str">
        <x:v>cra</x:v>
      </x:c>
      <x:c r="E16" s="31" t="str">
        <x:v>Pendente</x:v>
      </x:c>
      <x:c r="F16" s="33" t="n">
        <x:v>10000</x:v>
      </x:c>
      <x:c r="G16" s="33" t="n">
        <x:v>11000</x:v>
      </x:c>
      <x:c r="H16" s="33" t="n">
        <x:f>MAX(0,G16-F16)</x:f>
        <x:v>1000</x:v>
      </x:c>
      <x:c r="I16" s="38" t="n">
        <x:v>46023.5</x:v>
      </x:c>
      <x:c r="J16" s="38" t="n">
        <x:v>46744.5</x:v>
      </x:c>
      <x:c r="K16" s="40" t="n">
        <x:f>J16-I16</x:f>
        <x:v>721</x:v>
      </x:c>
      <x:c r="L16" s="30" t="str"/>
      <x:c r="M16" s="33"/>
      <x:c r="N16" s="33"/>
      <x:c r="O16" s="28" t="b">
        <x:v>0</x:v>
      </x:c>
      <x:c r="P16" s="28" t="b">
        <x:v>0</x:v>
      </x:c>
      <x:c r="Q16" s="33" t="n">
        <x:v>150</x:v>
      </x:c>
      <x:c r="R16" s="33" t="n">
        <x:v>10850</x:v>
      </x:c>
      <x:c r="S16" s="35" t="n">
        <x:v>0.15</x:v>
      </x:c>
      <x:c r="T16" s="26" t="str">
        <x:v>exata_para_premissas</x:v>
      </x:c>
      <x:c r="U16" s="26" t="str">
        <x:v>rf_regressiva_2026</x:v>
      </x:c>
      <x:c r="V16" s="34"/>
      <x:c r="W16" s="34"/>
      <x:c r="X16" s="36"/>
      <x:c r="Y16" s="33" t="str">
        <x:f>IF(V16="","",V16-Q16)</x:f>
      </x:c>
      <x:c r="Z16" s="33" t="str">
        <x:f>IF(W16="","",W16-R16)</x:f>
      </x:c>
      <x:c r="AA16" s="35" t="str">
        <x:f>IF(X16="","",X16-S16)</x:f>
      </x:c>
      <x:c r="AB16" s="37" t="n">
        <x:v>0.01</x:v>
      </x:c>
      <x:c r="AC16" s="35" t="n">
        <x:v>1e-9</x:v>
      </x:c>
      <x:c r="AD16" s="26" t="str">
        <x:f>IF(OR(V16="",W16="",X16=""),"Pendente",IF(AND(ABS(Y16)&lt;=AB16,ABS(Z16)&lt;=AB16,ABS(AA16)&lt;=AC16),"Confere","Diverge"))</x:f>
        <x:v>Pendente</x:v>
      </x:c>
      <x:c r="AE16" s="26" t="str">
        <x:v>receita_tabelas_2026</x:v>
      </x:c>
      <x:c r="AF16" s="32" t="str">
        <x:v>https://www.gov.br/receitafederal/pt-br/assuntos/meu-imposto-de-renda/tabelas/2026</x:v>
      </x:c>
      <x:c r="AG16" s="31"/>
      <x:c r="AH16" s="31"/>
      <x:c r="AI16" s="39"/>
      <x:c r="AJ16" s="31"/>
    </x:row>
    <x:row r="17">
      <x:c r="A17" s="26" t="str">
        <x:v>estruturado_generico_indeterminado</x:v>
      </x:c>
      <x:c r="B17" s="26" t="str">
        <x:v>estruturados</x:v>
      </x:c>
      <x:c r="C17" s="30" t="str">
        <x:v>validacao_de_indeterminacao</x:v>
      </x:c>
      <x:c r="D17" s="30" t="str">
        <x:v>estruturado</x:v>
      </x:c>
      <x:c r="E17" s="31" t="str">
        <x:v>Pendente</x:v>
      </x:c>
      <x:c r="F17" s="33" t="n">
        <x:v>10000</x:v>
      </x:c>
      <x:c r="G17" s="33" t="n">
        <x:v>11000</x:v>
      </x:c>
      <x:c r="H17" s="33" t="n">
        <x:f>MAX(0,G17-F17)</x:f>
        <x:v>1000</x:v>
      </x:c>
      <x:c r="I17" s="38" t="n">
        <x:v>46023.5</x:v>
      </x:c>
      <x:c r="J17" s="38" t="n">
        <x:v>46744.5</x:v>
      </x:c>
      <x:c r="K17" s="40" t="n">
        <x:f>J17-I17</x:f>
        <x:v>721</x:v>
      </x:c>
      <x:c r="L17" s="30" t="str"/>
      <x:c r="M17" s="33"/>
      <x:c r="N17" s="33"/>
      <x:c r="O17" s="28" t="b">
        <x:v>1</x:v>
      </x:c>
      <x:c r="P17" s="28" t="b">
        <x:v>0</x:v>
      </x:c>
      <x:c r="Q17" s="33"/>
      <x:c r="R17" s="33"/>
      <x:c r="S17" s="35"/>
      <x:c r="T17" s="26" t="str">
        <x:v>indeterminada</x:v>
      </x:c>
      <x:c r="U17" s="26" t="str">
        <x:v>estruturado_subtipo_indeterminado</x:v>
      </x:c>
      <x:c r="V17" s="34"/>
      <x:c r="W17" s="34"/>
      <x:c r="X17" s="36"/>
      <x:c r="Y17" s="33" t="str">
        <x:f>IF(V17="","",V17-Q17)</x:f>
      </x:c>
      <x:c r="Z17" s="33" t="str">
        <x:f>IF(W17="","",W17-R17)</x:f>
      </x:c>
      <x:c r="AA17" s="35" t="str">
        <x:f>IF(X17="","",X17-S17)</x:f>
      </x:c>
      <x:c r="AB17" s="37" t="n">
        <x:v>0.01</x:v>
      </x:c>
      <x:c r="AC17" s="35" t="n">
        <x:v>1e-9</x:v>
      </x:c>
      <x:c r="AD17" s="26" t="str">
        <x:f>IF(OR(V17="",W17="",X17=""),"Pendente",IF(AND(ABS(Y17)&lt;=AB17,ABS(Z17)&lt;=AB17,ABS(AA17)&lt;=AC17),"Confere","Diverge"))</x:f>
        <x:v>Pendente</x:v>
      </x:c>
      <x:c r="AE17" s="26" t="str">
        <x:v>receita_tabelas_2026</x:v>
      </x:c>
      <x:c r="AF17" s="32" t="str">
        <x:v>https://www.gov.br/receitafederal/pt-br/assuntos/meu-imposto-de-renda/tabelas/2026</x:v>
      </x:c>
      <x:c r="AG17" s="31"/>
      <x:c r="AH17" s="31"/>
      <x:c r="AI17" s="39"/>
      <x:c r="AJ17" s="31"/>
    </x:row>
    <x:row r="18">
      <x:c r="A18" s="26" t="str">
        <x:v>fundo_curto_180_dias</x:v>
      </x:c>
      <x:c r="B18" s="26" t="str">
        <x:v>fundos</x:v>
      </x:c>
      <x:c r="C18" s="30" t="str">
        <x:v>conformidade_fonte_oficial</x:v>
      </x:c>
      <x:c r="D18" s="30" t="str">
        <x:v>fundo_curto_prazo</x:v>
      </x:c>
      <x:c r="E18" s="31" t="str">
        <x:v>Pendente</x:v>
      </x:c>
      <x:c r="F18" s="33" t="n">
        <x:v>10000</x:v>
      </x:c>
      <x:c r="G18" s="33" t="n">
        <x:v>11000</x:v>
      </x:c>
      <x:c r="H18" s="33" t="n">
        <x:f>MAX(0,G18-F18)</x:f>
        <x:v>1000</x:v>
      </x:c>
      <x:c r="I18" s="38" t="n">
        <x:v>46023.5</x:v>
      </x:c>
      <x:c r="J18" s="38" t="n">
        <x:v>46203.5</x:v>
      </x:c>
      <x:c r="K18" s="40" t="n">
        <x:f>J18-I18</x:f>
        <x:v>180</x:v>
      </x:c>
      <x:c r="L18" s="30" t="str">
        <x:v>metadados={"come_cotas_pago":0}</x:v>
      </x:c>
      <x:c r="M18" s="33"/>
      <x:c r="N18" s="33"/>
      <x:c r="O18" s="28" t="b">
        <x:v>1</x:v>
      </x:c>
      <x:c r="P18" s="28" t="b">
        <x:v>0</x:v>
      </x:c>
      <x:c r="Q18" s="33" t="n">
        <x:v>225</x:v>
      </x:c>
      <x:c r="R18" s="33" t="n">
        <x:v>10775</x:v>
      </x:c>
      <x:c r="S18" s="35" t="n">
        <x:v>0.225</x:v>
      </x:c>
      <x:c r="T18" s="26" t="str">
        <x:v>estimada</x:v>
      </x:c>
      <x:c r="U18" s="26" t="str">
        <x:v>fundo_curto_prazo_2026</x:v>
      </x:c>
      <x:c r="V18" s="34"/>
      <x:c r="W18" s="34"/>
      <x:c r="X18" s="36"/>
      <x:c r="Y18" s="33" t="str">
        <x:f>IF(V18="","",V18-Q18)</x:f>
      </x:c>
      <x:c r="Z18" s="33" t="str">
        <x:f>IF(W18="","",W18-R18)</x:f>
      </x:c>
      <x:c r="AA18" s="35" t="str">
        <x:f>IF(X18="","",X18-S18)</x:f>
      </x:c>
      <x:c r="AB18" s="37" t="n">
        <x:v>0.01</x:v>
      </x:c>
      <x:c r="AC18" s="35" t="n">
        <x:v>1e-9</x:v>
      </x:c>
      <x:c r="AD18" s="26" t="str">
        <x:f>IF(OR(V18="",W18="",X18=""),"Pendente",IF(AND(ABS(Y18)&lt;=AB18,ABS(Z18)&lt;=AB18,ABS(AA18)&lt;=AC18),"Confere","Diverge"))</x:f>
        <x:v>Pendente</x:v>
      </x:c>
      <x:c r="AE18" s="26" t="str">
        <x:v>receita_tabelas_2026</x:v>
      </x:c>
      <x:c r="AF18" s="32" t="str">
        <x:v>https://www.gov.br/receitafederal/pt-br/assuntos/meu-imposto-de-renda/tabelas/2026</x:v>
      </x:c>
      <x:c r="AG18" s="31"/>
      <x:c r="AH18" s="31"/>
      <x:c r="AI18" s="39"/>
      <x:c r="AJ18" s="31"/>
    </x:row>
    <x:row r="19">
      <x:c r="A19" s="26" t="str">
        <x:v>fundo_curto_181_dias</x:v>
      </x:c>
      <x:c r="B19" s="26" t="str">
        <x:v>fundos</x:v>
      </x:c>
      <x:c r="C19" s="30" t="str">
        <x:v>conformidade_fonte_oficial</x:v>
      </x:c>
      <x:c r="D19" s="30" t="str">
        <x:v>fundo_curto_prazo</x:v>
      </x:c>
      <x:c r="E19" s="31" t="str">
        <x:v>Pendente</x:v>
      </x:c>
      <x:c r="F19" s="33" t="n">
        <x:v>10000</x:v>
      </x:c>
      <x:c r="G19" s="33" t="n">
        <x:v>11000</x:v>
      </x:c>
      <x:c r="H19" s="33" t="n">
        <x:f>MAX(0,G19-F19)</x:f>
        <x:v>1000</x:v>
      </x:c>
      <x:c r="I19" s="38" t="n">
        <x:v>46023.5</x:v>
      </x:c>
      <x:c r="J19" s="38" t="n">
        <x:v>46204.5</x:v>
      </x:c>
      <x:c r="K19" s="40" t="n">
        <x:f>J19-I19</x:f>
        <x:v>181</x:v>
      </x:c>
      <x:c r="L19" s="30" t="str">
        <x:v>metadados={"come_cotas_pago":0}</x:v>
      </x:c>
      <x:c r="M19" s="33"/>
      <x:c r="N19" s="33"/>
      <x:c r="O19" s="28" t="b">
        <x:v>1</x:v>
      </x:c>
      <x:c r="P19" s="28" t="b">
        <x:v>0</x:v>
      </x:c>
      <x:c r="Q19" s="33" t="n">
        <x:v>200</x:v>
      </x:c>
      <x:c r="R19" s="33" t="n">
        <x:v>10800</x:v>
      </x:c>
      <x:c r="S19" s="35" t="n">
        <x:v>0.2</x:v>
      </x:c>
      <x:c r="T19" s="26" t="str">
        <x:v>estimada</x:v>
      </x:c>
      <x:c r="U19" s="26" t="str">
        <x:v>fundo_curto_prazo_2026</x:v>
      </x:c>
      <x:c r="V19" s="34"/>
      <x:c r="W19" s="34"/>
      <x:c r="X19" s="36"/>
      <x:c r="Y19" s="33" t="str">
        <x:f>IF(V19="","",V19-Q19)</x:f>
      </x:c>
      <x:c r="Z19" s="33" t="str">
        <x:f>IF(W19="","",W19-R19)</x:f>
      </x:c>
      <x:c r="AA19" s="35" t="str">
        <x:f>IF(X19="","",X19-S19)</x:f>
      </x:c>
      <x:c r="AB19" s="37" t="n">
        <x:v>0.01</x:v>
      </x:c>
      <x:c r="AC19" s="35" t="n">
        <x:v>1e-9</x:v>
      </x:c>
      <x:c r="AD19" s="26" t="str">
        <x:f>IF(OR(V19="",W19="",X19=""),"Pendente",IF(AND(ABS(Y19)&lt;=AB19,ABS(Z19)&lt;=AB19,ABS(AA19)&lt;=AC19),"Confere","Diverge"))</x:f>
        <x:v>Pendente</x:v>
      </x:c>
      <x:c r="AE19" s="26" t="str">
        <x:v>receita_tabelas_2026</x:v>
      </x:c>
      <x:c r="AF19" s="32" t="str">
        <x:v>https://www.gov.br/receitafederal/pt-br/assuntos/meu-imposto-de-renda/tabelas/2026</x:v>
      </x:c>
      <x:c r="AG19" s="31"/>
      <x:c r="AH19" s="31"/>
      <x:c r="AI19" s="39"/>
      <x:c r="AJ19" s="31"/>
    </x:row>
    <x:row r="20">
      <x:c r="A20" s="26" t="str">
        <x:v>fundo_longo_180_dias</x:v>
      </x:c>
      <x:c r="B20" s="26" t="str">
        <x:v>fundos</x:v>
      </x:c>
      <x:c r="C20" s="30" t="str">
        <x:v>conformidade_fonte_oficial</x:v>
      </x:c>
      <x:c r="D20" s="30" t="str">
        <x:v>fundo_longo_prazo</x:v>
      </x:c>
      <x:c r="E20" s="31" t="str">
        <x:v>Pendente</x:v>
      </x:c>
      <x:c r="F20" s="33" t="n">
        <x:v>10000</x:v>
      </x:c>
      <x:c r="G20" s="33" t="n">
        <x:v>11000</x:v>
      </x:c>
      <x:c r="H20" s="33" t="n">
        <x:f>MAX(0,G20-F20)</x:f>
        <x:v>1000</x:v>
      </x:c>
      <x:c r="I20" s="38" t="n">
        <x:v>46023.5</x:v>
      </x:c>
      <x:c r="J20" s="38" t="n">
        <x:v>46203.5</x:v>
      </x:c>
      <x:c r="K20" s="40" t="n">
        <x:f>J20-I20</x:f>
        <x:v>180</x:v>
      </x:c>
      <x:c r="L20" s="30" t="str">
        <x:v>metadados={"come_cotas_pago":0}</x:v>
      </x:c>
      <x:c r="M20" s="33"/>
      <x:c r="N20" s="33"/>
      <x:c r="O20" s="28" t="b">
        <x:v>1</x:v>
      </x:c>
      <x:c r="P20" s="28" t="b">
        <x:v>0</x:v>
      </x:c>
      <x:c r="Q20" s="33" t="n">
        <x:v>225</x:v>
      </x:c>
      <x:c r="R20" s="33" t="n">
        <x:v>10775</x:v>
      </x:c>
      <x:c r="S20" s="35" t="n">
        <x:v>0.225</x:v>
      </x:c>
      <x:c r="T20" s="26" t="str">
        <x:v>estimada</x:v>
      </x:c>
      <x:c r="U20" s="26" t="str">
        <x:v>fundo_longo_prazo_2026</x:v>
      </x:c>
      <x:c r="V20" s="34"/>
      <x:c r="W20" s="34"/>
      <x:c r="X20" s="36"/>
      <x:c r="Y20" s="33" t="str">
        <x:f>IF(V20="","",V20-Q20)</x:f>
      </x:c>
      <x:c r="Z20" s="33" t="str">
        <x:f>IF(W20="","",W20-R20)</x:f>
      </x:c>
      <x:c r="AA20" s="35" t="str">
        <x:f>IF(X20="","",X20-S20)</x:f>
      </x:c>
      <x:c r="AB20" s="37" t="n">
        <x:v>0.01</x:v>
      </x:c>
      <x:c r="AC20" s="35" t="n">
        <x:v>1e-9</x:v>
      </x:c>
      <x:c r="AD20" s="26" t="str">
        <x:f>IF(OR(V20="",W20="",X20=""),"Pendente",IF(AND(ABS(Y20)&lt;=AB20,ABS(Z20)&lt;=AB20,ABS(AA20)&lt;=AC20),"Confere","Diverge"))</x:f>
        <x:v>Pendente</x:v>
      </x:c>
      <x:c r="AE20" s="26" t="str">
        <x:v>receita_tabelas_2026</x:v>
      </x:c>
      <x:c r="AF20" s="32" t="str">
        <x:v>https://www.gov.br/receitafederal/pt-br/assuntos/meu-imposto-de-renda/tabelas/2026</x:v>
      </x:c>
      <x:c r="AG20" s="31"/>
      <x:c r="AH20" s="31"/>
      <x:c r="AI20" s="39"/>
      <x:c r="AJ20" s="31"/>
    </x:row>
    <x:row r="21">
      <x:c r="A21" s="26" t="str">
        <x:v>fundo_longo_181_dias</x:v>
      </x:c>
      <x:c r="B21" s="26" t="str">
        <x:v>fundos</x:v>
      </x:c>
      <x:c r="C21" s="30" t="str">
        <x:v>conformidade_fonte_oficial</x:v>
      </x:c>
      <x:c r="D21" s="30" t="str">
        <x:v>fundo_longo_prazo</x:v>
      </x:c>
      <x:c r="E21" s="31" t="str">
        <x:v>Pendente</x:v>
      </x:c>
      <x:c r="F21" s="33" t="n">
        <x:v>10000</x:v>
      </x:c>
      <x:c r="G21" s="33" t="n">
        <x:v>11000</x:v>
      </x:c>
      <x:c r="H21" s="33" t="n">
        <x:f>MAX(0,G21-F21)</x:f>
        <x:v>1000</x:v>
      </x:c>
      <x:c r="I21" s="38" t="n">
        <x:v>46023.5</x:v>
      </x:c>
      <x:c r="J21" s="38" t="n">
        <x:v>46204.5</x:v>
      </x:c>
      <x:c r="K21" s="40" t="n">
        <x:f>J21-I21</x:f>
        <x:v>181</x:v>
      </x:c>
      <x:c r="L21" s="30" t="str">
        <x:v>metadados={"come_cotas_pago":0}</x:v>
      </x:c>
      <x:c r="M21" s="33"/>
      <x:c r="N21" s="33"/>
      <x:c r="O21" s="28" t="b">
        <x:v>1</x:v>
      </x:c>
      <x:c r="P21" s="28" t="b">
        <x:v>0</x:v>
      </x:c>
      <x:c r="Q21" s="33" t="n">
        <x:v>200</x:v>
      </x:c>
      <x:c r="R21" s="33" t="n">
        <x:v>10800</x:v>
      </x:c>
      <x:c r="S21" s="35" t="n">
        <x:v>0.2</x:v>
      </x:c>
      <x:c r="T21" s="26" t="str">
        <x:v>estimada</x:v>
      </x:c>
      <x:c r="U21" s="26" t="str">
        <x:v>fundo_longo_prazo_2026</x:v>
      </x:c>
      <x:c r="V21" s="34"/>
      <x:c r="W21" s="34"/>
      <x:c r="X21" s="36"/>
      <x:c r="Y21" s="33" t="str">
        <x:f>IF(V21="","",V21-Q21)</x:f>
      </x:c>
      <x:c r="Z21" s="33" t="str">
        <x:f>IF(W21="","",W21-R21)</x:f>
      </x:c>
      <x:c r="AA21" s="35" t="str">
        <x:f>IF(X21="","",X21-S21)</x:f>
      </x:c>
      <x:c r="AB21" s="37" t="n">
        <x:v>0.01</x:v>
      </x:c>
      <x:c r="AC21" s="35" t="n">
        <x:v>1e-9</x:v>
      </x:c>
      <x:c r="AD21" s="26" t="str">
        <x:f>IF(OR(V21="",W21="",X21=""),"Pendente",IF(AND(ABS(Y21)&lt;=AB21,ABS(Z21)&lt;=AB21,ABS(AA21)&lt;=AC21),"Confere","Diverge"))</x:f>
        <x:v>Pendente</x:v>
      </x:c>
      <x:c r="AE21" s="26" t="str">
        <x:v>receita_tabelas_2026</x:v>
      </x:c>
      <x:c r="AF21" s="32" t="str">
        <x:v>https://www.gov.br/receitafederal/pt-br/assuntos/meu-imposto-de-renda/tabelas/2026</x:v>
      </x:c>
      <x:c r="AG21" s="31"/>
      <x:c r="AH21" s="31"/>
      <x:c r="AI21" s="39"/>
      <x:c r="AJ21" s="31"/>
    </x:row>
    <x:row r="22">
      <x:c r="A22" s="26" t="str">
        <x:v>fundo_longo_361_dias</x:v>
      </x:c>
      <x:c r="B22" s="26" t="str">
        <x:v>fundos</x:v>
      </x:c>
      <x:c r="C22" s="30" t="str">
        <x:v>conformidade_fonte_oficial</x:v>
      </x:c>
      <x:c r="D22" s="30" t="str">
        <x:v>fundo_longo_prazo</x:v>
      </x:c>
      <x:c r="E22" s="31" t="str">
        <x:v>Pendente</x:v>
      </x:c>
      <x:c r="F22" s="33" t="n">
        <x:v>10000</x:v>
      </x:c>
      <x:c r="G22" s="33" t="n">
        <x:v>11000</x:v>
      </x:c>
      <x:c r="H22" s="33" t="n">
        <x:f>MAX(0,G22-F22)</x:f>
        <x:v>1000</x:v>
      </x:c>
      <x:c r="I22" s="38" t="n">
        <x:v>46023.5</x:v>
      </x:c>
      <x:c r="J22" s="38" t="n">
        <x:v>46384.5</x:v>
      </x:c>
      <x:c r="K22" s="40" t="n">
        <x:f>J22-I22</x:f>
        <x:v>361</x:v>
      </x:c>
      <x:c r="L22" s="30" t="str">
        <x:v>metadados={"come_cotas_pago":0}</x:v>
      </x:c>
      <x:c r="M22" s="33"/>
      <x:c r="N22" s="33"/>
      <x:c r="O22" s="28" t="b">
        <x:v>1</x:v>
      </x:c>
      <x:c r="P22" s="28" t="b">
        <x:v>0</x:v>
      </x:c>
      <x:c r="Q22" s="33" t="n">
        <x:v>175</x:v>
      </x:c>
      <x:c r="R22" s="33" t="n">
        <x:v>10825</x:v>
      </x:c>
      <x:c r="S22" s="35" t="n">
        <x:v>0.175</x:v>
      </x:c>
      <x:c r="T22" s="26" t="str">
        <x:v>estimada</x:v>
      </x:c>
      <x:c r="U22" s="26" t="str">
        <x:v>fundo_longo_prazo_2026</x:v>
      </x:c>
      <x:c r="V22" s="34"/>
      <x:c r="W22" s="34"/>
      <x:c r="X22" s="36"/>
      <x:c r="Y22" s="33" t="str">
        <x:f>IF(V22="","",V22-Q22)</x:f>
      </x:c>
      <x:c r="Z22" s="33" t="str">
        <x:f>IF(W22="","",W22-R22)</x:f>
      </x:c>
      <x:c r="AA22" s="35" t="str">
        <x:f>IF(X22="","",X22-S22)</x:f>
      </x:c>
      <x:c r="AB22" s="37" t="n">
        <x:v>0.01</x:v>
      </x:c>
      <x:c r="AC22" s="35" t="n">
        <x:v>1e-9</x:v>
      </x:c>
      <x:c r="AD22" s="26" t="str">
        <x:f>IF(OR(V22="",W22="",X22=""),"Pendente",IF(AND(ABS(Y22)&lt;=AB22,ABS(Z22)&lt;=AB22,ABS(AA22)&lt;=AC22),"Confere","Diverge"))</x:f>
        <x:v>Pendente</x:v>
      </x:c>
      <x:c r="AE22" s="26" t="str">
        <x:v>receita_tabelas_2026</x:v>
      </x:c>
      <x:c r="AF22" s="32" t="str">
        <x:v>https://www.gov.br/receitafederal/pt-br/assuntos/meu-imposto-de-renda/tabelas/2026</x:v>
      </x:c>
      <x:c r="AG22" s="31"/>
      <x:c r="AH22" s="31"/>
      <x:c r="AI22" s="39"/>
      <x:c r="AJ22" s="31"/>
    </x:row>
    <x:row r="23">
      <x:c r="A23" s="26" t="str">
        <x:v>fundo_longo_721_dias</x:v>
      </x:c>
      <x:c r="B23" s="26" t="str">
        <x:v>fundos</x:v>
      </x:c>
      <x:c r="C23" s="30" t="str">
        <x:v>conformidade_fonte_oficial</x:v>
      </x:c>
      <x:c r="D23" s="30" t="str">
        <x:v>fundo_longo_prazo</x:v>
      </x:c>
      <x:c r="E23" s="31" t="str">
        <x:v>Pendente</x:v>
      </x:c>
      <x:c r="F23" s="33" t="n">
        <x:v>10000</x:v>
      </x:c>
      <x:c r="G23" s="33" t="n">
        <x:v>11000</x:v>
      </x:c>
      <x:c r="H23" s="33" t="n">
        <x:f>MAX(0,G23-F23)</x:f>
        <x:v>1000</x:v>
      </x:c>
      <x:c r="I23" s="38" t="n">
        <x:v>46023.5</x:v>
      </x:c>
      <x:c r="J23" s="38" t="n">
        <x:v>46744.5</x:v>
      </x:c>
      <x:c r="K23" s="40" t="n">
        <x:f>J23-I23</x:f>
        <x:v>721</x:v>
      </x:c>
      <x:c r="L23" s="30" t="str">
        <x:v>metadados={"come_cotas_pago":0}</x:v>
      </x:c>
      <x:c r="M23" s="33"/>
      <x:c r="N23" s="33"/>
      <x:c r="O23" s="28" t="b">
        <x:v>1</x:v>
      </x:c>
      <x:c r="P23" s="28" t="b">
        <x:v>0</x:v>
      </x:c>
      <x:c r="Q23" s="33" t="n">
        <x:v>150</x:v>
      </x:c>
      <x:c r="R23" s="33" t="n">
        <x:v>10850</x:v>
      </x:c>
      <x:c r="S23" s="35" t="n">
        <x:v>0.15</x:v>
      </x:c>
      <x:c r="T23" s="26" t="str">
        <x:v>estimada</x:v>
      </x:c>
      <x:c r="U23" s="26" t="str">
        <x:v>fundo_longo_prazo_2026</x:v>
      </x:c>
      <x:c r="V23" s="34"/>
      <x:c r="W23" s="34"/>
      <x:c r="X23" s="36"/>
      <x:c r="Y23" s="33" t="str">
        <x:f>IF(V23="","",V23-Q23)</x:f>
      </x:c>
      <x:c r="Z23" s="33" t="str">
        <x:f>IF(W23="","",W23-R23)</x:f>
      </x:c>
      <x:c r="AA23" s="35" t="str">
        <x:f>IF(X23="","",X23-S23)</x:f>
      </x:c>
      <x:c r="AB23" s="37" t="n">
        <x:v>0.01</x:v>
      </x:c>
      <x:c r="AC23" s="35" t="n">
        <x:v>1e-9</x:v>
      </x:c>
      <x:c r="AD23" s="26" t="str">
        <x:f>IF(OR(V23="",W23="",X23=""),"Pendente",IF(AND(ABS(Y23)&lt;=AB23,ABS(Z23)&lt;=AB23,ABS(AA23)&lt;=AC23),"Confere","Diverge"))</x:f>
        <x:v>Pendente</x:v>
      </x:c>
      <x:c r="AE23" s="26" t="str">
        <x:v>receita_tabelas_2026</x:v>
      </x:c>
      <x:c r="AF23" s="32" t="str">
        <x:v>https://www.gov.br/receitafederal/pt-br/assuntos/meu-imposto-de-renda/tabelas/2026</x:v>
      </x:c>
      <x:c r="AG23" s="31"/>
      <x:c r="AH23" s="31"/>
      <x:c r="AI23" s="39"/>
      <x:c r="AJ23" s="31"/>
    </x:row>
    <x:row r="24">
      <x:c r="A24" s="26" t="str">
        <x:v>fundo_rf_721_dias</x:v>
      </x:c>
      <x:c r="B24" s="26" t="str">
        <x:v>fundos</x:v>
      </x:c>
      <x:c r="C24" s="30" t="str">
        <x:v>regressao_implementacao_pendente_revisao</x:v>
      </x:c>
      <x:c r="D24" s="30" t="str">
        <x:v>fundo_rf</x:v>
      </x:c>
      <x:c r="E24" s="31" t="str">
        <x:v>Pendente</x:v>
      </x:c>
      <x:c r="F24" s="33" t="n">
        <x:v>10000</x:v>
      </x:c>
      <x:c r="G24" s="33" t="n">
        <x:v>11000</x:v>
      </x:c>
      <x:c r="H24" s="33" t="n">
        <x:f>MAX(0,G24-F24)</x:f>
        <x:v>1000</x:v>
      </x:c>
      <x:c r="I24" s="38" t="n">
        <x:v>46023.5</x:v>
      </x:c>
      <x:c r="J24" s="38" t="n">
        <x:v>46744.5</x:v>
      </x:c>
      <x:c r="K24" s="40" t="n">
        <x:f>J24-I24</x:f>
        <x:v>721</x:v>
      </x:c>
      <x:c r="L24" s="30" t="str">
        <x:v>metadados={"come_cotas_pago":0}</x:v>
      </x:c>
      <x:c r="M24" s="33"/>
      <x:c r="N24" s="33"/>
      <x:c r="O24" s="28" t="b">
        <x:v>1</x:v>
      </x:c>
      <x:c r="P24" s="28" t="b">
        <x:v>0</x:v>
      </x:c>
      <x:c r="Q24" s="33" t="n">
        <x:v>150</x:v>
      </x:c>
      <x:c r="R24" s="33" t="n">
        <x:v>10850</x:v>
      </x:c>
      <x:c r="S24" s="35" t="n">
        <x:v>0.15</x:v>
      </x:c>
      <x:c r="T24" s="26" t="str">
        <x:v>estimada</x:v>
      </x:c>
      <x:c r="U24" s="26" t="str">
        <x:v>fundo_rf_2026</x:v>
      </x:c>
      <x:c r="V24" s="34"/>
      <x:c r="W24" s="34"/>
      <x:c r="X24" s="36"/>
      <x:c r="Y24" s="33" t="str">
        <x:f>IF(V24="","",V24-Q24)</x:f>
      </x:c>
      <x:c r="Z24" s="33" t="str">
        <x:f>IF(W24="","",W24-R24)</x:f>
      </x:c>
      <x:c r="AA24" s="35" t="str">
        <x:f>IF(X24="","",X24-S24)</x:f>
      </x:c>
      <x:c r="AB24" s="37" t="n">
        <x:v>0.01</x:v>
      </x:c>
      <x:c r="AC24" s="35" t="n">
        <x:v>1e-9</x:v>
      </x:c>
      <x:c r="AD24" s="26" t="str">
        <x:f>IF(OR(V24="",W24="",X24=""),"Pendente",IF(AND(ABS(Y24)&lt;=AB24,ABS(Z24)&lt;=AB24,ABS(AA24)&lt;=AC24),"Confere","Diverge"))</x:f>
        <x:v>Pendente</x:v>
      </x:c>
      <x:c r="AE24" s="26" t="str">
        <x:v>receita_tabelas_2026</x:v>
      </x:c>
      <x:c r="AF24" s="32" t="str">
        <x:v>https://www.gov.br/receitafederal/pt-br/assuntos/meu-imposto-de-renda/tabelas/2026</x:v>
      </x:c>
      <x:c r="AG24" s="31"/>
      <x:c r="AH24" s="31"/>
      <x:c r="AI24" s="39"/>
      <x:c r="AJ24" s="31"/>
    </x:row>
    <x:row r="25">
      <x:c r="A25" s="26" t="str">
        <x:v>fundo_longo_com_come_cotas_parcial</x:v>
      </x:c>
      <x:c r="B25" s="26" t="str">
        <x:v>fundos</x:v>
      </x:c>
      <x:c r="C25" s="30" t="str">
        <x:v>regressao_implementacao_pendente_revisao</x:v>
      </x:c>
      <x:c r="D25" s="30" t="str">
        <x:v>fundo_longo_prazo</x:v>
      </x:c>
      <x:c r="E25" s="31" t="str">
        <x:v>Pendente</x:v>
      </x:c>
      <x:c r="F25" s="33" t="n">
        <x:v>10000</x:v>
      </x:c>
      <x:c r="G25" s="33" t="n">
        <x:v>11000</x:v>
      </x:c>
      <x:c r="H25" s="33" t="n">
        <x:f>MAX(0,G25-F25)</x:f>
        <x:v>1000</x:v>
      </x:c>
      <x:c r="I25" s="38" t="n">
        <x:v>46023.5</x:v>
      </x:c>
      <x:c r="J25" s="38" t="n">
        <x:v>46744.5</x:v>
      </x:c>
      <x:c r="K25" s="40" t="n">
        <x:f>J25-I25</x:f>
        <x:v>721</x:v>
      </x:c>
      <x:c r="L25" s="30" t="str">
        <x:v>metadados={"come_cotas_pago":100}</x:v>
      </x:c>
      <x:c r="M25" s="33"/>
      <x:c r="N25" s="33"/>
      <x:c r="O25" s="28" t="b">
        <x:v>1</x:v>
      </x:c>
      <x:c r="P25" s="28" t="b">
        <x:v>0</x:v>
      </x:c>
      <x:c r="Q25" s="33" t="n">
        <x:v>50</x:v>
      </x:c>
      <x:c r="R25" s="33" t="n">
        <x:v>10950</x:v>
      </x:c>
      <x:c r="S25" s="35" t="n">
        <x:v>0.05</x:v>
      </x:c>
      <x:c r="T25" s="26" t="str">
        <x:v>estimada</x:v>
      </x:c>
      <x:c r="U25" s="26" t="str">
        <x:v>fundo_longo_prazo_2026</x:v>
      </x:c>
      <x:c r="V25" s="34"/>
      <x:c r="W25" s="34"/>
      <x:c r="X25" s="36"/>
      <x:c r="Y25" s="33" t="str">
        <x:f>IF(V25="","",V25-Q25)</x:f>
      </x:c>
      <x:c r="Z25" s="33" t="str">
        <x:f>IF(W25="","",W25-R25)</x:f>
      </x:c>
      <x:c r="AA25" s="35" t="str">
        <x:f>IF(X25="","",X25-S25)</x:f>
      </x:c>
      <x:c r="AB25" s="37" t="n">
        <x:v>0.01</x:v>
      </x:c>
      <x:c r="AC25" s="35" t="n">
        <x:v>1e-9</x:v>
      </x:c>
      <x:c r="AD25" s="26" t="str">
        <x:f>IF(OR(V25="",W25="",X25=""),"Pendente",IF(AND(ABS(Y25)&lt;=AB25,ABS(Z25)&lt;=AB25,ABS(AA25)&lt;=AC25),"Confere","Diverge"))</x:f>
        <x:v>Pendente</x:v>
      </x:c>
      <x:c r="AE25" s="26" t="str">
        <x:v>receita_tabelas_2026</x:v>
      </x:c>
      <x:c r="AF25" s="32" t="str">
        <x:v>https://www.gov.br/receitafederal/pt-br/assuntos/meu-imposto-de-renda/tabelas/2026</x:v>
      </x:c>
      <x:c r="AG25" s="31"/>
      <x:c r="AH25" s="31"/>
      <x:c r="AI25" s="39"/>
      <x:c r="AJ25" s="31"/>
    </x:row>
    <x:row r="26">
      <x:c r="A26" s="26" t="str">
        <x:v>fundo_longo_come_cotas_superior_imposto_final</x:v>
      </x:c>
      <x:c r="B26" s="26" t="str">
        <x:v>fundos</x:v>
      </x:c>
      <x:c r="C26" s="30" t="str">
        <x:v>regressao_implementacao_pendente_revisao</x:v>
      </x:c>
      <x:c r="D26" s="30" t="str">
        <x:v>fundo_longo_prazo</x:v>
      </x:c>
      <x:c r="E26" s="31" t="str">
        <x:v>Pendente</x:v>
      </x:c>
      <x:c r="F26" s="33" t="n">
        <x:v>10000</x:v>
      </x:c>
      <x:c r="G26" s="33" t="n">
        <x:v>11000</x:v>
      </x:c>
      <x:c r="H26" s="33" t="n">
        <x:f>MAX(0,G26-F26)</x:f>
        <x:v>1000</x:v>
      </x:c>
      <x:c r="I26" s="38" t="n">
        <x:v>46023.5</x:v>
      </x:c>
      <x:c r="J26" s="38" t="n">
        <x:v>46744.5</x:v>
      </x:c>
      <x:c r="K26" s="40" t="n">
        <x:f>J26-I26</x:f>
        <x:v>721</x:v>
      </x:c>
      <x:c r="L26" s="30" t="str">
        <x:v>metadados={"come_cotas_pago":200}</x:v>
      </x:c>
      <x:c r="M26" s="33"/>
      <x:c r="N26" s="33"/>
      <x:c r="O26" s="28" t="b">
        <x:v>1</x:v>
      </x:c>
      <x:c r="P26" s="28" t="b">
        <x:v>0</x:v>
      </x:c>
      <x:c r="Q26" s="33" t="n">
        <x:v>0</x:v>
      </x:c>
      <x:c r="R26" s="33" t="n">
        <x:v>11000</x:v>
      </x:c>
      <x:c r="S26" s="35" t="n">
        <x:v>0</x:v>
      </x:c>
      <x:c r="T26" s="26" t="str">
        <x:v>estimada</x:v>
      </x:c>
      <x:c r="U26" s="26" t="str">
        <x:v>fundo_longo_prazo_2026</x:v>
      </x:c>
      <x:c r="V26" s="34"/>
      <x:c r="W26" s="34"/>
      <x:c r="X26" s="36"/>
      <x:c r="Y26" s="33" t="str">
        <x:f>IF(V26="","",V26-Q26)</x:f>
      </x:c>
      <x:c r="Z26" s="33" t="str">
        <x:f>IF(W26="","",W26-R26)</x:f>
      </x:c>
      <x:c r="AA26" s="35" t="str">
        <x:f>IF(X26="","",X26-S26)</x:f>
      </x:c>
      <x:c r="AB26" s="37" t="n">
        <x:v>0.01</x:v>
      </x:c>
      <x:c r="AC26" s="35" t="n">
        <x:v>1e-9</x:v>
      </x:c>
      <x:c r="AD26" s="26" t="str">
        <x:f>IF(OR(V26="",W26="",X26=""),"Pendente",IF(AND(ABS(Y26)&lt;=AB26,ABS(Z26)&lt;=AB26,ABS(AA26)&lt;=AC26),"Confere","Diverge"))</x:f>
        <x:v>Pendente</x:v>
      </x:c>
      <x:c r="AE26" s="26" t="str">
        <x:v>receita_tabelas_2026</x:v>
      </x:c>
      <x:c r="AF26" s="32" t="str">
        <x:v>https://www.gov.br/receitafederal/pt-br/assuntos/meu-imposto-de-renda/tabelas/2026</x:v>
      </x:c>
      <x:c r="AG26" s="31"/>
      <x:c r="AH26" s="31"/>
      <x:c r="AI26" s="39"/>
      <x:c r="AJ26" s="31"/>
    </x:row>
    <x:row r="27">
      <x:c r="A27" s="26" t="str">
        <x:v>fundo_acoes_15_porcento</x:v>
      </x:c>
      <x:c r="B27" s="26" t="str">
        <x:v>fundos</x:v>
      </x:c>
      <x:c r="C27" s="30" t="str">
        <x:v>conformidade_fonte_oficial</x:v>
      </x:c>
      <x:c r="D27" s="30" t="str">
        <x:v>fundo_acoes</x:v>
      </x:c>
      <x:c r="E27" s="31" t="str">
        <x:v>Pendente</x:v>
      </x:c>
      <x:c r="F27" s="33" t="n">
        <x:v>10000</x:v>
      </x:c>
      <x:c r="G27" s="33" t="n">
        <x:v>11000</x:v>
      </x:c>
      <x:c r="H27" s="33" t="n">
        <x:f>MAX(0,G27-F27)</x:f>
        <x:v>1000</x:v>
      </x:c>
      <x:c r="I27" s="38" t="n">
        <x:v>46023.5</x:v>
      </x:c>
      <x:c r="J27" s="38" t="n">
        <x:v>46204.5</x:v>
      </x:c>
      <x:c r="K27" s="40" t="n">
        <x:f>J27-I27</x:f>
        <x:v>181</x:v>
      </x:c>
      <x:c r="L27" s="30" t="str"/>
      <x:c r="M27" s="33"/>
      <x:c r="N27" s="33"/>
      <x:c r="O27" s="28" t="b">
        <x:v>1</x:v>
      </x:c>
      <x:c r="P27" s="28" t="b">
        <x:v>0</x:v>
      </x:c>
      <x:c r="Q27" s="33" t="n">
        <x:v>150</x:v>
      </x:c>
      <x:c r="R27" s="33" t="n">
        <x:v>10850</x:v>
      </x:c>
      <x:c r="S27" s="35" t="n">
        <x:v>0.15</x:v>
      </x:c>
      <x:c r="T27" s="26" t="str">
        <x:v>estimada</x:v>
      </x:c>
      <x:c r="U27" s="26" t="str">
        <x:v>fundo_acoes_2026</x:v>
      </x:c>
      <x:c r="V27" s="34"/>
      <x:c r="W27" s="34"/>
      <x:c r="X27" s="36"/>
      <x:c r="Y27" s="33" t="str">
        <x:f>IF(V27="","",V27-Q27)</x:f>
      </x:c>
      <x:c r="Z27" s="33" t="str">
        <x:f>IF(W27="","",W27-R27)</x:f>
      </x:c>
      <x:c r="AA27" s="35" t="str">
        <x:f>IF(X27="","",X27-S27)</x:f>
      </x:c>
      <x:c r="AB27" s="37" t="n">
        <x:v>0.01</x:v>
      </x:c>
      <x:c r="AC27" s="35" t="n">
        <x:v>1e-9</x:v>
      </x:c>
      <x:c r="AD27" s="26" t="str">
        <x:f>IF(OR(V27="",W27="",X27=""),"Pendente",IF(AND(ABS(Y27)&lt;=AB27,ABS(Z27)&lt;=AB27,ABS(AA27)&lt;=AC27),"Confere","Diverge"))</x:f>
        <x:v>Pendente</x:v>
      </x:c>
      <x:c r="AE27" s="26" t="str">
        <x:v>receita_fundos</x:v>
      </x:c>
      <x:c r="AF27" s="32" t="str">
        <x:v>https://www.gov.br/receitafederal/pt-br/assuntos/meu-imposto-de-renda/pagamento/renda-variavel/fundos-de-investimento-no-brasil</x:v>
      </x:c>
      <x:c r="AG27" s="31"/>
      <x:c r="AH27" s="31"/>
      <x:c r="AI27" s="39"/>
      <x:c r="AJ27" s="31"/>
    </x:row>
    <x:row r="28">
      <x:c r="A28" s="26" t="str">
        <x:v>fundo_etf_acoes_15_porcento</x:v>
      </x:c>
      <x:c r="B28" s="26" t="str">
        <x:v>fundos</x:v>
      </x:c>
      <x:c r="C28" s="30" t="str">
        <x:v>regressao_implementacao_pendente_revisao</x:v>
      </x:c>
      <x:c r="D28" s="30" t="str">
        <x:v>fundo_etf_acoes</x:v>
      </x:c>
      <x:c r="E28" s="31" t="str">
        <x:v>Pendente</x:v>
      </x:c>
      <x:c r="F28" s="33" t="n">
        <x:v>10000</x:v>
      </x:c>
      <x:c r="G28" s="33" t="n">
        <x:v>11000</x:v>
      </x:c>
      <x:c r="H28" s="33" t="n">
        <x:f>MAX(0,G28-F28)</x:f>
        <x:v>1000</x:v>
      </x:c>
      <x:c r="I28" s="38" t="n">
        <x:v>46023.5</x:v>
      </x:c>
      <x:c r="J28" s="38" t="n">
        <x:v>46204.5</x:v>
      </x:c>
      <x:c r="K28" s="40" t="n">
        <x:f>J28-I28</x:f>
        <x:v>181</x:v>
      </x:c>
      <x:c r="L28" s="30" t="str"/>
      <x:c r="M28" s="33"/>
      <x:c r="N28" s="33"/>
      <x:c r="O28" s="28" t="b">
        <x:v>1</x:v>
      </x:c>
      <x:c r="P28" s="28" t="b">
        <x:v>0</x:v>
      </x:c>
      <x:c r="Q28" s="33" t="n">
        <x:v>150</x:v>
      </x:c>
      <x:c r="R28" s="33" t="n">
        <x:v>10850</x:v>
      </x:c>
      <x:c r="S28" s="35" t="n">
        <x:v>0.15</x:v>
      </x:c>
      <x:c r="T28" s="26" t="str">
        <x:v>estimada</x:v>
      </x:c>
      <x:c r="U28" s="26" t="str">
        <x:v>fundo_acoes_2026</x:v>
      </x:c>
      <x:c r="V28" s="34"/>
      <x:c r="W28" s="34"/>
      <x:c r="X28" s="36"/>
      <x:c r="Y28" s="33" t="str">
        <x:f>IF(V28="","",V28-Q28)</x:f>
      </x:c>
      <x:c r="Z28" s="33" t="str">
        <x:f>IF(W28="","",W28-R28)</x:f>
      </x:c>
      <x:c r="AA28" s="35" t="str">
        <x:f>IF(X28="","",X28-S28)</x:f>
      </x:c>
      <x:c r="AB28" s="37" t="n">
        <x:v>0.01</x:v>
      </x:c>
      <x:c r="AC28" s="35" t="n">
        <x:v>1e-9</x:v>
      </x:c>
      <x:c r="AD28" s="26" t="str">
        <x:f>IF(OR(V28="",W28="",X28=""),"Pendente",IF(AND(ABS(Y28)&lt;=AB28,ABS(Z28)&lt;=AB28,ABS(AA28)&lt;=AC28),"Confere","Diverge"))</x:f>
        <x:v>Pendente</x:v>
      </x:c>
      <x:c r="AE28" s="26" t="str">
        <x:v>receita_fundos</x:v>
      </x:c>
      <x:c r="AF28" s="32" t="str">
        <x:v>https://www.gov.br/receitafederal/pt-br/assuntos/meu-imposto-de-renda/pagamento/renda-variavel/fundos-de-investimento-no-brasil</x:v>
      </x:c>
      <x:c r="AG28" s="31"/>
      <x:c r="AH28" s="31"/>
      <x:c r="AI28" s="39"/>
      <x:c r="AJ28" s="31"/>
    </x:row>
    <x:row r="29">
      <x:c r="A29" s="26" t="str">
        <x:v>pgbl_regressivo_ate_2_anos</x:v>
      </x:c>
      <x:c r="B29" s="26" t="str">
        <x:v>previdencia</x:v>
      </x:c>
      <x:c r="C29" s="30" t="str">
        <x:v>conformidade_fonte_oficial_com_premissa_lote_unico</x:v>
      </x:c>
      <x:c r="D29" s="30" t="str">
        <x:v>pgbl</x:v>
      </x:c>
      <x:c r="E29" s="31" t="str">
        <x:v>Pendente</x:v>
      </x:c>
      <x:c r="F29" s="33" t="n">
        <x:v>10000</x:v>
      </x:c>
      <x:c r="G29" s="33" t="n">
        <x:v>11000</x:v>
      </x:c>
      <x:c r="H29" s="33" t="n">
        <x:f>MAX(0,G29-F29)</x:f>
        <x:v>1000</x:v>
      </x:c>
      <x:c r="I29" s="38" t="n">
        <x:v>46023.5</x:v>
      </x:c>
      <x:c r="J29" s="38" t="n">
        <x:v>46753.5</x:v>
      </x:c>
      <x:c r="K29" s="40" t="n">
        <x:f>J29-I29</x:f>
        <x:v>730</x:v>
      </x:c>
      <x:c r="L29" s="30" t="str">
        <x:v>regime=regressivo</x:v>
      </x:c>
      <x:c r="M29" s="33"/>
      <x:c r="N29" s="33"/>
      <x:c r="O29" s="28" t="b">
        <x:v>1</x:v>
      </x:c>
      <x:c r="P29" s="28" t="b">
        <x:v>0</x:v>
      </x:c>
      <x:c r="Q29" s="33" t="n">
        <x:v>3850</x:v>
      </x:c>
      <x:c r="R29" s="33" t="n">
        <x:v>7150</x:v>
      </x:c>
      <x:c r="S29" s="35" t="n">
        <x:v>0.35</x:v>
      </x:c>
      <x:c r="T29" s="26" t="str">
        <x:v>estimada</x:v>
      </x:c>
      <x:c r="U29" s="26" t="str">
        <x:v>pgbl_regressivo_2026</x:v>
      </x:c>
      <x:c r="V29" s="34"/>
      <x:c r="W29" s="34"/>
      <x:c r="X29" s="36"/>
      <x:c r="Y29" s="33" t="str">
        <x:f>IF(V29="","",V29-Q29)</x:f>
      </x:c>
      <x:c r="Z29" s="33" t="str">
        <x:f>IF(W29="","",W29-R29)</x:f>
      </x:c>
      <x:c r="AA29" s="35" t="str">
        <x:f>IF(X29="","",X29-S29)</x:f>
      </x:c>
      <x:c r="AB29" s="37" t="n">
        <x:v>0.01</x:v>
      </x:c>
      <x:c r="AC29" s="35" t="n">
        <x:v>1e-9</x:v>
      </x:c>
      <x:c r="AD29" s="26" t="str">
        <x:f>IF(OR(V29="",W29="",X29=""),"Pendente",IF(AND(ABS(Y29)&lt;=AB29,ABS(Z29)&lt;=AB29,ABS(AA29)&lt;=AC29),"Confere","Diverge"))</x:f>
        <x:v>Pendente</x:v>
      </x:c>
      <x:c r="AE29" s="26" t="str">
        <x:v>receita_pgbl_vgbl, previdencia_faq</x:v>
      </x:c>
      <x:c r="AF29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29" s="31"/>
      <x:c r="AH29" s="31"/>
      <x:c r="AI29" s="39"/>
      <x:c r="AJ29" s="31"/>
    </x:row>
    <x:row r="30">
      <x:c r="A30" s="26" t="str">
        <x:v>pgbl_regressivo_acima_2_anos</x:v>
      </x:c>
      <x:c r="B30" s="26" t="str">
        <x:v>previdencia</x:v>
      </x:c>
      <x:c r="C30" s="30" t="str">
        <x:v>conformidade_fonte_oficial_com_premissa_lote_unico</x:v>
      </x:c>
      <x:c r="D30" s="30" t="str">
        <x:v>pgbl</x:v>
      </x:c>
      <x:c r="E30" s="31" t="str">
        <x:v>Pendente</x:v>
      </x:c>
      <x:c r="F30" s="33" t="n">
        <x:v>10000</x:v>
      </x:c>
      <x:c r="G30" s="33" t="n">
        <x:v>11000</x:v>
      </x:c>
      <x:c r="H30" s="33" t="n">
        <x:f>MAX(0,G30-F30)</x:f>
        <x:v>1000</x:v>
      </x:c>
      <x:c r="I30" s="38" t="n">
        <x:v>46023.5</x:v>
      </x:c>
      <x:c r="J30" s="38" t="n">
        <x:v>46754.5</x:v>
      </x:c>
      <x:c r="K30" s="40" t="n">
        <x:f>J30-I30</x:f>
        <x:v>731</x:v>
      </x:c>
      <x:c r="L30" s="30" t="str">
        <x:v>regime=regressivo</x:v>
      </x:c>
      <x:c r="M30" s="33"/>
      <x:c r="N30" s="33"/>
      <x:c r="O30" s="28" t="b">
        <x:v>1</x:v>
      </x:c>
      <x:c r="P30" s="28" t="b">
        <x:v>0</x:v>
      </x:c>
      <x:c r="Q30" s="33" t="n">
        <x:v>3300</x:v>
      </x:c>
      <x:c r="R30" s="33" t="n">
        <x:v>7700</x:v>
      </x:c>
      <x:c r="S30" s="35" t="n">
        <x:v>0.3</x:v>
      </x:c>
      <x:c r="T30" s="26" t="str">
        <x:v>estimada</x:v>
      </x:c>
      <x:c r="U30" s="26" t="str">
        <x:v>pgbl_regressivo_2026</x:v>
      </x:c>
      <x:c r="V30" s="34"/>
      <x:c r="W30" s="34"/>
      <x:c r="X30" s="36"/>
      <x:c r="Y30" s="33" t="str">
        <x:f>IF(V30="","",V30-Q30)</x:f>
      </x:c>
      <x:c r="Z30" s="33" t="str">
        <x:f>IF(W30="","",W30-R30)</x:f>
      </x:c>
      <x:c r="AA30" s="35" t="str">
        <x:f>IF(X30="","",X30-S30)</x:f>
      </x:c>
      <x:c r="AB30" s="37" t="n">
        <x:v>0.01</x:v>
      </x:c>
      <x:c r="AC30" s="35" t="n">
        <x:v>1e-9</x:v>
      </x:c>
      <x:c r="AD30" s="26" t="str">
        <x:f>IF(OR(V30="",W30="",X30=""),"Pendente",IF(AND(ABS(Y30)&lt;=AB30,ABS(Z30)&lt;=AB30,ABS(AA30)&lt;=AC30),"Confere","Diverge"))</x:f>
        <x:v>Pendente</x:v>
      </x:c>
      <x:c r="AE30" s="26" t="str">
        <x:v>receita_pgbl_vgbl, previdencia_faq</x:v>
      </x:c>
      <x:c r="AF30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0" s="31"/>
      <x:c r="AH30" s="31"/>
      <x:c r="AI30" s="39"/>
      <x:c r="AJ30" s="31"/>
    </x:row>
    <x:row r="31">
      <x:c r="A31" s="26" t="str">
        <x:v>pgbl_regressivo_acima_4_anos</x:v>
      </x:c>
      <x:c r="B31" s="26" t="str">
        <x:v>previdencia</x:v>
      </x:c>
      <x:c r="C31" s="30" t="str">
        <x:v>conformidade_fonte_oficial_com_premissa_lote_unico</x:v>
      </x:c>
      <x:c r="D31" s="30" t="str">
        <x:v>pgbl</x:v>
      </x:c>
      <x:c r="E31" s="31" t="str">
        <x:v>Pendente</x:v>
      </x:c>
      <x:c r="F31" s="33" t="n">
        <x:v>10000</x:v>
      </x:c>
      <x:c r="G31" s="33" t="n">
        <x:v>11000</x:v>
      </x:c>
      <x:c r="H31" s="33" t="n">
        <x:f>MAX(0,G31-F31)</x:f>
        <x:v>1000</x:v>
      </x:c>
      <x:c r="I31" s="38" t="n">
        <x:v>46023.5</x:v>
      </x:c>
      <x:c r="J31" s="38" t="n">
        <x:v>47484.5</x:v>
      </x:c>
      <x:c r="K31" s="40" t="n">
        <x:f>J31-I31</x:f>
        <x:v>1461</x:v>
      </x:c>
      <x:c r="L31" s="30" t="str">
        <x:v>regime=regressivo</x:v>
      </x:c>
      <x:c r="M31" s="33"/>
      <x:c r="N31" s="33"/>
      <x:c r="O31" s="28" t="b">
        <x:v>1</x:v>
      </x:c>
      <x:c r="P31" s="28" t="b">
        <x:v>0</x:v>
      </x:c>
      <x:c r="Q31" s="33" t="n">
        <x:v>2750</x:v>
      </x:c>
      <x:c r="R31" s="33" t="n">
        <x:v>8250</x:v>
      </x:c>
      <x:c r="S31" s="35" t="n">
        <x:v>0.25</x:v>
      </x:c>
      <x:c r="T31" s="26" t="str">
        <x:v>estimada</x:v>
      </x:c>
      <x:c r="U31" s="26" t="str">
        <x:v>pgbl_regressivo_2026</x:v>
      </x:c>
      <x:c r="V31" s="34"/>
      <x:c r="W31" s="34"/>
      <x:c r="X31" s="36"/>
      <x:c r="Y31" s="33" t="str">
        <x:f>IF(V31="","",V31-Q31)</x:f>
      </x:c>
      <x:c r="Z31" s="33" t="str">
        <x:f>IF(W31="","",W31-R31)</x:f>
      </x:c>
      <x:c r="AA31" s="35" t="str">
        <x:f>IF(X31="","",X31-S31)</x:f>
      </x:c>
      <x:c r="AB31" s="37" t="n">
        <x:v>0.01</x:v>
      </x:c>
      <x:c r="AC31" s="35" t="n">
        <x:v>1e-9</x:v>
      </x:c>
      <x:c r="AD31" s="26" t="str">
        <x:f>IF(OR(V31="",W31="",X31=""),"Pendente",IF(AND(ABS(Y31)&lt;=AB31,ABS(Z31)&lt;=AB31,ABS(AA31)&lt;=AC31),"Confere","Diverge"))</x:f>
        <x:v>Pendente</x:v>
      </x:c>
      <x:c r="AE31" s="26" t="str">
        <x:v>receita_pgbl_vgbl, previdencia_faq</x:v>
      </x:c>
      <x:c r="AF31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1" s="31"/>
      <x:c r="AH31" s="31"/>
      <x:c r="AI31" s="39"/>
      <x:c r="AJ31" s="31"/>
    </x:row>
    <x:row r="32">
      <x:c r="A32" s="26" t="str">
        <x:v>pgbl_regressivo_acima_6_anos</x:v>
      </x:c>
      <x:c r="B32" s="26" t="str">
        <x:v>previdencia</x:v>
      </x:c>
      <x:c r="C32" s="30" t="str">
        <x:v>conformidade_fonte_oficial_com_premissa_lote_unico</x:v>
      </x:c>
      <x:c r="D32" s="30" t="str">
        <x:v>pgbl</x:v>
      </x:c>
      <x:c r="E32" s="31" t="str">
        <x:v>Pendente</x:v>
      </x:c>
      <x:c r="F32" s="33" t="n">
        <x:v>10000</x:v>
      </x:c>
      <x:c r="G32" s="33" t="n">
        <x:v>11000</x:v>
      </x:c>
      <x:c r="H32" s="33" t="n">
        <x:f>MAX(0,G32-F32)</x:f>
        <x:v>1000</x:v>
      </x:c>
      <x:c r="I32" s="38" t="n">
        <x:v>46023.5</x:v>
      </x:c>
      <x:c r="J32" s="38" t="n">
        <x:v>48215.5</x:v>
      </x:c>
      <x:c r="K32" s="40" t="n">
        <x:f>J32-I32</x:f>
        <x:v>2192</x:v>
      </x:c>
      <x:c r="L32" s="30" t="str">
        <x:v>regime=regressivo</x:v>
      </x:c>
      <x:c r="M32" s="33"/>
      <x:c r="N32" s="33"/>
      <x:c r="O32" s="28" t="b">
        <x:v>1</x:v>
      </x:c>
      <x:c r="P32" s="28" t="b">
        <x:v>0</x:v>
      </x:c>
      <x:c r="Q32" s="33" t="n">
        <x:v>2200</x:v>
      </x:c>
      <x:c r="R32" s="33" t="n">
        <x:v>8800</x:v>
      </x:c>
      <x:c r="S32" s="35" t="n">
        <x:v>0.2</x:v>
      </x:c>
      <x:c r="T32" s="26" t="str">
        <x:v>estimada</x:v>
      </x:c>
      <x:c r="U32" s="26" t="str">
        <x:v>pgbl_regressivo_2026</x:v>
      </x:c>
      <x:c r="V32" s="34"/>
      <x:c r="W32" s="34"/>
      <x:c r="X32" s="36"/>
      <x:c r="Y32" s="33" t="str">
        <x:f>IF(V32="","",V32-Q32)</x:f>
      </x:c>
      <x:c r="Z32" s="33" t="str">
        <x:f>IF(W32="","",W32-R32)</x:f>
      </x:c>
      <x:c r="AA32" s="35" t="str">
        <x:f>IF(X32="","",X32-S32)</x:f>
      </x:c>
      <x:c r="AB32" s="37" t="n">
        <x:v>0.01</x:v>
      </x:c>
      <x:c r="AC32" s="35" t="n">
        <x:v>1e-9</x:v>
      </x:c>
      <x:c r="AD32" s="26" t="str">
        <x:f>IF(OR(V32="",W32="",X32=""),"Pendente",IF(AND(ABS(Y32)&lt;=AB32,ABS(Z32)&lt;=AB32,ABS(AA32)&lt;=AC32),"Confere","Diverge"))</x:f>
        <x:v>Pendente</x:v>
      </x:c>
      <x:c r="AE32" s="26" t="str">
        <x:v>receita_pgbl_vgbl, previdencia_faq</x:v>
      </x:c>
      <x:c r="AF32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2" s="31"/>
      <x:c r="AH32" s="31"/>
      <x:c r="AI32" s="39"/>
      <x:c r="AJ32" s="31"/>
    </x:row>
    <x:row r="33">
      <x:c r="A33" s="26" t="str">
        <x:v>pgbl_regressivo_acima_8_anos</x:v>
      </x:c>
      <x:c r="B33" s="26" t="str">
        <x:v>previdencia</x:v>
      </x:c>
      <x:c r="C33" s="30" t="str">
        <x:v>conformidade_fonte_oficial_com_premissa_lote_unico</x:v>
      </x:c>
      <x:c r="D33" s="30" t="str">
        <x:v>pgbl</x:v>
      </x:c>
      <x:c r="E33" s="31" t="str">
        <x:v>Pendente</x:v>
      </x:c>
      <x:c r="F33" s="33" t="n">
        <x:v>10000</x:v>
      </x:c>
      <x:c r="G33" s="33" t="n">
        <x:v>11000</x:v>
      </x:c>
      <x:c r="H33" s="33" t="n">
        <x:f>MAX(0,G33-F33)</x:f>
        <x:v>1000</x:v>
      </x:c>
      <x:c r="I33" s="38" t="n">
        <x:v>46023.5</x:v>
      </x:c>
      <x:c r="J33" s="38" t="n">
        <x:v>48945.5</x:v>
      </x:c>
      <x:c r="K33" s="40" t="n">
        <x:f>J33-I33</x:f>
        <x:v>2922</x:v>
      </x:c>
      <x:c r="L33" s="30" t="str">
        <x:v>regime=regressivo</x:v>
      </x:c>
      <x:c r="M33" s="33"/>
      <x:c r="N33" s="33"/>
      <x:c r="O33" s="28" t="b">
        <x:v>1</x:v>
      </x:c>
      <x:c r="P33" s="28" t="b">
        <x:v>0</x:v>
      </x:c>
      <x:c r="Q33" s="33" t="n">
        <x:v>1650</x:v>
      </x:c>
      <x:c r="R33" s="33" t="n">
        <x:v>9350</x:v>
      </x:c>
      <x:c r="S33" s="35" t="n">
        <x:v>0.15</x:v>
      </x:c>
      <x:c r="T33" s="26" t="str">
        <x:v>estimada</x:v>
      </x:c>
      <x:c r="U33" s="26" t="str">
        <x:v>pgbl_regressivo_2026</x:v>
      </x:c>
      <x:c r="V33" s="34"/>
      <x:c r="W33" s="34"/>
      <x:c r="X33" s="36"/>
      <x:c r="Y33" s="33" t="str">
        <x:f>IF(V33="","",V33-Q33)</x:f>
      </x:c>
      <x:c r="Z33" s="33" t="str">
        <x:f>IF(W33="","",W33-R33)</x:f>
      </x:c>
      <x:c r="AA33" s="35" t="str">
        <x:f>IF(X33="","",X33-S33)</x:f>
      </x:c>
      <x:c r="AB33" s="37" t="n">
        <x:v>0.01</x:v>
      </x:c>
      <x:c r="AC33" s="35" t="n">
        <x:v>1e-9</x:v>
      </x:c>
      <x:c r="AD33" s="26" t="str">
        <x:f>IF(OR(V33="",W33="",X33=""),"Pendente",IF(AND(ABS(Y33)&lt;=AB33,ABS(Z33)&lt;=AB33,ABS(AA33)&lt;=AC33),"Confere","Diverge"))</x:f>
        <x:v>Pendente</x:v>
      </x:c>
      <x:c r="AE33" s="26" t="str">
        <x:v>receita_pgbl_vgbl, previdencia_faq</x:v>
      </x:c>
      <x:c r="AF33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3" s="31"/>
      <x:c r="AH33" s="31"/>
      <x:c r="AI33" s="39"/>
      <x:c r="AJ33" s="31"/>
    </x:row>
    <x:row r="34">
      <x:c r="A34" s="26" t="str">
        <x:v>pgbl_regressivo_acima_10_anos</x:v>
      </x:c>
      <x:c r="B34" s="26" t="str">
        <x:v>previdencia</x:v>
      </x:c>
      <x:c r="C34" s="30" t="str">
        <x:v>conformidade_fonte_oficial_com_premissa_lote_unico</x:v>
      </x:c>
      <x:c r="D34" s="30" t="str">
        <x:v>pgbl</x:v>
      </x:c>
      <x:c r="E34" s="31" t="str">
        <x:v>Pendente</x:v>
      </x:c>
      <x:c r="F34" s="33" t="n">
        <x:v>10000</x:v>
      </x:c>
      <x:c r="G34" s="33" t="n">
        <x:v>11000</x:v>
      </x:c>
      <x:c r="H34" s="33" t="n">
        <x:f>MAX(0,G34-F34)</x:f>
        <x:v>1000</x:v>
      </x:c>
      <x:c r="I34" s="38" t="n">
        <x:v>46023.5</x:v>
      </x:c>
      <x:c r="J34" s="38" t="n">
        <x:v>49676.5</x:v>
      </x:c>
      <x:c r="K34" s="40" t="n">
        <x:f>J34-I34</x:f>
        <x:v>3653</x:v>
      </x:c>
      <x:c r="L34" s="30" t="str">
        <x:v>regime=regressivo</x:v>
      </x:c>
      <x:c r="M34" s="33"/>
      <x:c r="N34" s="33"/>
      <x:c r="O34" s="28" t="b">
        <x:v>1</x:v>
      </x:c>
      <x:c r="P34" s="28" t="b">
        <x:v>0</x:v>
      </x:c>
      <x:c r="Q34" s="33" t="n">
        <x:v>1100</x:v>
      </x:c>
      <x:c r="R34" s="33" t="n">
        <x:v>9900</x:v>
      </x:c>
      <x:c r="S34" s="35" t="n">
        <x:v>0.1</x:v>
      </x:c>
      <x:c r="T34" s="26" t="str">
        <x:v>estimada</x:v>
      </x:c>
      <x:c r="U34" s="26" t="str">
        <x:v>pgbl_regressivo_2026</x:v>
      </x:c>
      <x:c r="V34" s="34"/>
      <x:c r="W34" s="34"/>
      <x:c r="X34" s="36"/>
      <x:c r="Y34" s="33" t="str">
        <x:f>IF(V34="","",V34-Q34)</x:f>
      </x:c>
      <x:c r="Z34" s="33" t="str">
        <x:f>IF(W34="","",W34-R34)</x:f>
      </x:c>
      <x:c r="AA34" s="35" t="str">
        <x:f>IF(X34="","",X34-S34)</x:f>
      </x:c>
      <x:c r="AB34" s="37" t="n">
        <x:v>0.01</x:v>
      </x:c>
      <x:c r="AC34" s="35" t="n">
        <x:v>1e-9</x:v>
      </x:c>
      <x:c r="AD34" s="26" t="str">
        <x:f>IF(OR(V34="",W34="",X34=""),"Pendente",IF(AND(ABS(Y34)&lt;=AB34,ABS(Z34)&lt;=AB34,ABS(AA34)&lt;=AC34),"Confere","Diverge"))</x:f>
        <x:v>Pendente</x:v>
      </x:c>
      <x:c r="AE34" s="26" t="str">
        <x:v>receita_pgbl_vgbl, previdencia_faq</x:v>
      </x:c>
      <x:c r="AF34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4" s="31"/>
      <x:c r="AH34" s="31"/>
      <x:c r="AI34" s="39"/>
      <x:c r="AJ34" s="31"/>
    </x:row>
    <x:row r="35">
      <x:c r="A35" s="26" t="str">
        <x:v>vgbl_regressivo_tributa_so_ganho</x:v>
      </x:c>
      <x:c r="B35" s="26" t="str">
        <x:v>previdencia</x:v>
      </x:c>
      <x:c r="C35" s="30" t="str">
        <x:v>conformidade_fonte_oficial_com_premissa_lote_unico</x:v>
      </x:c>
      <x:c r="D35" s="30" t="str">
        <x:v>vgbl</x:v>
      </x:c>
      <x:c r="E35" s="31" t="str">
        <x:v>Pendente</x:v>
      </x:c>
      <x:c r="F35" s="33" t="n">
        <x:v>10000</x:v>
      </x:c>
      <x:c r="G35" s="33" t="n">
        <x:v>11000</x:v>
      </x:c>
      <x:c r="H35" s="33" t="n">
        <x:f>MAX(0,G35-F35)</x:f>
        <x:v>1000</x:v>
      </x:c>
      <x:c r="I35" s="38" t="n">
        <x:v>46023.5</x:v>
      </x:c>
      <x:c r="J35" s="38" t="n">
        <x:v>46754.5</x:v>
      </x:c>
      <x:c r="K35" s="40" t="n">
        <x:f>J35-I35</x:f>
        <x:v>731</x:v>
      </x:c>
      <x:c r="L35" s="30" t="str">
        <x:v>regime=regressivo</x:v>
      </x:c>
      <x:c r="M35" s="33"/>
      <x:c r="N35" s="33"/>
      <x:c r="O35" s="28" t="b">
        <x:v>1</x:v>
      </x:c>
      <x:c r="P35" s="28" t="b">
        <x:v>0</x:v>
      </x:c>
      <x:c r="Q35" s="33" t="n">
        <x:v>300</x:v>
      </x:c>
      <x:c r="R35" s="33" t="n">
        <x:v>10700</x:v>
      </x:c>
      <x:c r="S35" s="35" t="n">
        <x:v>0.3</x:v>
      </x:c>
      <x:c r="T35" s="26" t="str">
        <x:v>estimada</x:v>
      </x:c>
      <x:c r="U35" s="26" t="str">
        <x:v>vgbl_regressivo_2026</x:v>
      </x:c>
      <x:c r="V35" s="34"/>
      <x:c r="W35" s="34"/>
      <x:c r="X35" s="36"/>
      <x:c r="Y35" s="33" t="str">
        <x:f>IF(V35="","",V35-Q35)</x:f>
      </x:c>
      <x:c r="Z35" s="33" t="str">
        <x:f>IF(W35="","",W35-R35)</x:f>
      </x:c>
      <x:c r="AA35" s="35" t="str">
        <x:f>IF(X35="","",X35-S35)</x:f>
      </x:c>
      <x:c r="AB35" s="37" t="n">
        <x:v>0.01</x:v>
      </x:c>
      <x:c r="AC35" s="35" t="n">
        <x:v>1e-9</x:v>
      </x:c>
      <x:c r="AD35" s="26" t="str">
        <x:f>IF(OR(V35="",W35="",X35=""),"Pendente",IF(AND(ABS(Y35)&lt;=AB35,ABS(Z35)&lt;=AB35,ABS(AA35)&lt;=AC35),"Confere","Diverge"))</x:f>
        <x:v>Pendente</x:v>
      </x:c>
      <x:c r="AE35" s="26" t="str">
        <x:v>receita_pgbl_vgbl, previdencia_faq</x:v>
      </x:c>
      <x:c r="AF35" s="3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G35" s="31"/>
      <x:c r="AH35" s="31"/>
      <x:c r="AI35" s="39"/>
      <x:c r="AJ35" s="31"/>
    </x:row>
    <x:row r="36">
      <x:c r="A36" s="26" t="str">
        <x:v>pgbl_progressivo_renda_30000</x:v>
      </x:c>
      <x:c r="B36" s="26" t="str">
        <x:v>previdencia</x:v>
      </x:c>
      <x:c r="C36" s="30" t="str">
        <x:v>regressao_implementacao_pendente_revisao</x:v>
      </x:c>
      <x:c r="D36" s="30" t="str">
        <x:v>pgbl</x:v>
      </x:c>
      <x:c r="E36" s="31" t="str">
        <x:v>Pendente</x:v>
      </x:c>
      <x:c r="F36" s="33" t="n">
        <x:v>10000</x:v>
      </x:c>
      <x:c r="G36" s="33" t="n">
        <x:v>11000</x:v>
      </x:c>
      <x:c r="H36" s="33" t="n">
        <x:f>MAX(0,G36-F36)</x:f>
        <x:v>1000</x:v>
      </x:c>
      <x:c r="I36" s="38" t="n">
        <x:v>46023.5</x:v>
      </x:c>
      <x:c r="J36" s="38" t="n">
        <x:v>46754.5</x:v>
      </x:c>
      <x:c r="K36" s="40" t="n">
        <x:f>J36-I36</x:f>
        <x:v>731</x:v>
      </x:c>
      <x:c r="L36" s="30" t="str">
        <x:v>regime=progressivo</x:v>
      </x:c>
      <x:c r="M36" s="33"/>
      <x:c r="N36" s="33" t="n">
        <x:v>30000</x:v>
      </x:c>
      <x:c r="O36" s="28" t="b">
        <x:v>1</x:v>
      </x:c>
      <x:c r="P36" s="28" t="b">
        <x:v>0</x:v>
      </x:c>
      <x:c r="Q36" s="33" t="n">
        <x:v>1356.01</x:v>
      </x:c>
      <x:c r="R36" s="33" t="n">
        <x:v>9643.99</x:v>
      </x:c>
      <x:c r="S36" s="35" t="n">
        <x:v>0.12327363636363638</x:v>
      </x:c>
      <x:c r="T36" s="26" t="str">
        <x:v>estimada</x:v>
      </x:c>
      <x:c r="U36" s="26" t="str">
        <x:v>pgbl_progressivo_2026</x:v>
      </x:c>
      <x:c r="V36" s="34"/>
      <x:c r="W36" s="34"/>
      <x:c r="X36" s="36"/>
      <x:c r="Y36" s="33" t="str">
        <x:f>IF(V36="","",V36-Q36)</x:f>
      </x:c>
      <x:c r="Z36" s="33" t="str">
        <x:f>IF(W36="","",W36-R36)</x:f>
      </x:c>
      <x:c r="AA36" s="35" t="str">
        <x:f>IF(X36="","",X36-S36)</x:f>
      </x:c>
      <x:c r="AB36" s="37" t="n">
        <x:v>0.01</x:v>
      </x:c>
      <x:c r="AC36" s="35" t="n">
        <x:v>1e-9</x:v>
      </x:c>
      <x:c r="AD36" s="26" t="str">
        <x:f>IF(OR(V36="",W36="",X36=""),"Pendente",IF(AND(ABS(Y36)&lt;=AB36,ABS(Z36)&lt;=AB36,ABS(AA36)&lt;=AC36),"Confere","Diverge"))</x:f>
        <x:v>Pendente</x:v>
      </x:c>
      <x:c r="AE36" s="26" t="str">
        <x:v>receita_tabelas_2026</x:v>
      </x:c>
      <x:c r="AF36" s="32" t="str">
        <x:v>https://www.gov.br/receitafederal/pt-br/assuntos/meu-imposto-de-renda/tabelas/2026</x:v>
      </x:c>
      <x:c r="AG36" s="31"/>
      <x:c r="AH36" s="31"/>
      <x:c r="AI36" s="39"/>
      <x:c r="AJ36" s="31"/>
    </x:row>
    <x:row r="37">
      <x:c r="A37" s="26" t="str">
        <x:v>vgbl_progressivo_renda_30000</x:v>
      </x:c>
      <x:c r="B37" s="26" t="str">
        <x:v>previdencia</x:v>
      </x:c>
      <x:c r="C37" s="30" t="str">
        <x:v>regressao_implementacao_pendente_revisao</x:v>
      </x:c>
      <x:c r="D37" s="30" t="str">
        <x:v>vgbl</x:v>
      </x:c>
      <x:c r="E37" s="31" t="str">
        <x:v>Pendente</x:v>
      </x:c>
      <x:c r="F37" s="33" t="n">
        <x:v>10000</x:v>
      </x:c>
      <x:c r="G37" s="33" t="n">
        <x:v>11000</x:v>
      </x:c>
      <x:c r="H37" s="33" t="n">
        <x:f>MAX(0,G37-F37)</x:f>
        <x:v>1000</x:v>
      </x:c>
      <x:c r="I37" s="38" t="n">
        <x:v>46023.5</x:v>
      </x:c>
      <x:c r="J37" s="38" t="n">
        <x:v>46754.5</x:v>
      </x:c>
      <x:c r="K37" s="40" t="n">
        <x:f>J37-I37</x:f>
        <x:v>731</x:v>
      </x:c>
      <x:c r="L37" s="30" t="str">
        <x:v>regime=progressivo</x:v>
      </x:c>
      <x:c r="M37" s="33"/>
      <x:c r="N37" s="33" t="n">
        <x:v>30000</x:v>
      </x:c>
      <x:c r="O37" s="28" t="b">
        <x:v>1</x:v>
      </x:c>
      <x:c r="P37" s="28" t="b">
        <x:v>0</x:v>
      </x:c>
      <x:c r="Q37" s="33" t="n">
        <x:v>75</x:v>
      </x:c>
      <x:c r="R37" s="33" t="n">
        <x:v>10925</x:v>
      </x:c>
      <x:c r="S37" s="35" t="n">
        <x:v>0.075</x:v>
      </x:c>
      <x:c r="T37" s="26" t="str">
        <x:v>estimada</x:v>
      </x:c>
      <x:c r="U37" s="26" t="str">
        <x:v>vgbl_progressivo_2026</x:v>
      </x:c>
      <x:c r="V37" s="34"/>
      <x:c r="W37" s="34"/>
      <x:c r="X37" s="36"/>
      <x:c r="Y37" s="33" t="str">
        <x:f>IF(V37="","",V37-Q37)</x:f>
      </x:c>
      <x:c r="Z37" s="33" t="str">
        <x:f>IF(W37="","",W37-R37)</x:f>
      </x:c>
      <x:c r="AA37" s="35" t="str">
        <x:f>IF(X37="","",X37-S37)</x:f>
      </x:c>
      <x:c r="AB37" s="37" t="n">
        <x:v>0.01</x:v>
      </x:c>
      <x:c r="AC37" s="35" t="n">
        <x:v>1e-9</x:v>
      </x:c>
      <x:c r="AD37" s="26" t="str">
        <x:f>IF(OR(V37="",W37="",X37=""),"Pendente",IF(AND(ABS(Y37)&lt;=AB37,ABS(Z37)&lt;=AB37,ABS(AA37)&lt;=AC37),"Confere","Diverge"))</x:f>
        <x:v>Pendente</x:v>
      </x:c>
      <x:c r="AE37" s="26" t="str">
        <x:v>receita_tabelas_2026</x:v>
      </x:c>
      <x:c r="AF37" s="32" t="str">
        <x:v>https://www.gov.br/receitafederal/pt-br/assuntos/meu-imposto-de-renda/tabelas/2026</x:v>
      </x:c>
      <x:c r="AG37" s="31"/>
      <x:c r="AH37" s="31"/>
      <x:c r="AI37" s="39"/>
      <x:c r="AJ37" s="31"/>
    </x:row>
    <x:row r="38">
      <x:c r="A38" s="26" t="str">
        <x:v>pgbl_progressivo_sem_renda</x:v>
      </x:c>
      <x:c r="B38" s="26" t="str">
        <x:v>previdencia</x:v>
      </x:c>
      <x:c r="C38" s="30" t="str">
        <x:v>validacao_de_indeterminacao</x:v>
      </x:c>
      <x:c r="D38" s="30" t="str">
        <x:v>pgbl</x:v>
      </x:c>
      <x:c r="E38" s="31" t="str">
        <x:v>Pendente</x:v>
      </x:c>
      <x:c r="F38" s="33" t="n">
        <x:v>10000</x:v>
      </x:c>
      <x:c r="G38" s="33" t="n">
        <x:v>11000</x:v>
      </x:c>
      <x:c r="H38" s="33" t="n">
        <x:f>MAX(0,G38-F38)</x:f>
        <x:v>1000</x:v>
      </x:c>
      <x:c r="I38" s="38" t="n">
        <x:v>46023.5</x:v>
      </x:c>
      <x:c r="J38" s="38" t="n">
        <x:v>46754.5</x:v>
      </x:c>
      <x:c r="K38" s="40" t="n">
        <x:f>J38-I38</x:f>
        <x:v>731</x:v>
      </x:c>
      <x:c r="L38" s="30" t="str">
        <x:v>regime=progressivo</x:v>
      </x:c>
      <x:c r="M38" s="33"/>
      <x:c r="N38" s="33"/>
      <x:c r="O38" s="28" t="b">
        <x:v>1</x:v>
      </x:c>
      <x:c r="P38" s="28" t="b">
        <x:v>0</x:v>
      </x:c>
      <x:c r="Q38" s="33"/>
      <x:c r="R38" s="33"/>
      <x:c r="S38" s="35"/>
      <x:c r="T38" s="26" t="str">
        <x:v>indeterminada</x:v>
      </x:c>
      <x:c r="U38" s="26" t="str">
        <x:v>pgbl_progressivo_sem_renda</x:v>
      </x:c>
      <x:c r="V38" s="34"/>
      <x:c r="W38" s="34"/>
      <x:c r="X38" s="36"/>
      <x:c r="Y38" s="33" t="str">
        <x:f>IF(V38="","",V38-Q38)</x:f>
      </x:c>
      <x:c r="Z38" s="33" t="str">
        <x:f>IF(W38="","",W38-R38)</x:f>
      </x:c>
      <x:c r="AA38" s="35" t="str">
        <x:f>IF(X38="","",X38-S38)</x:f>
      </x:c>
      <x:c r="AB38" s="37" t="n">
        <x:v>0.01</x:v>
      </x:c>
      <x:c r="AC38" s="35" t="n">
        <x:v>1e-9</x:v>
      </x:c>
      <x:c r="AD38" s="26" t="str">
        <x:f>IF(OR(V38="",W38="",X38=""),"Pendente",IF(AND(ABS(Y38)&lt;=AB38,ABS(Z38)&lt;=AB38,ABS(AA38)&lt;=AC38),"Confere","Diverge"))</x:f>
        <x:v>Pendente</x:v>
      </x:c>
      <x:c r="AE38" s="26" t="str">
        <x:v>receita_tabelas_2026</x:v>
      </x:c>
      <x:c r="AF38" s="32" t="str">
        <x:v>https://www.gov.br/receitafederal/pt-br/assuntos/meu-imposto-de-renda/tabelas/2026</x:v>
      </x:c>
      <x:c r="AG38" s="31"/>
      <x:c r="AH38" s="31"/>
      <x:c r="AI38" s="39"/>
      <x:c r="AJ38" s="31"/>
    </x:row>
    <x:row r="39">
      <x:c r="A39" s="26" t="str">
        <x:v>pgbl_regime_ausente</x:v>
      </x:c>
      <x:c r="B39" s="26" t="str">
        <x:v>previdencia</x:v>
      </x:c>
      <x:c r="C39" s="30" t="str">
        <x:v>validacao_de_indeterminacao</x:v>
      </x:c>
      <x:c r="D39" s="30" t="str">
        <x:v>pgbl</x:v>
      </x:c>
      <x:c r="E39" s="31" t="str">
        <x:v>Pendente</x:v>
      </x:c>
      <x:c r="F39" s="33" t="n">
        <x:v>10000</x:v>
      </x:c>
      <x:c r="G39" s="33" t="n">
        <x:v>11000</x:v>
      </x:c>
      <x:c r="H39" s="33" t="n">
        <x:f>MAX(0,G39-F39)</x:f>
        <x:v>1000</x:v>
      </x:c>
      <x:c r="I39" s="38" t="n">
        <x:v>46023.5</x:v>
      </x:c>
      <x:c r="J39" s="38" t="n">
        <x:v>46754.5</x:v>
      </x:c>
      <x:c r="K39" s="40" t="n">
        <x:f>J39-I39</x:f>
        <x:v>731</x:v>
      </x:c>
      <x:c r="L39" s="30" t="str"/>
      <x:c r="M39" s="33"/>
      <x:c r="N39" s="33"/>
      <x:c r="O39" s="28" t="b">
        <x:v>1</x:v>
      </x:c>
      <x:c r="P39" s="28" t="b">
        <x:v>0</x:v>
      </x:c>
      <x:c r="Q39" s="33"/>
      <x:c r="R39" s="33"/>
      <x:c r="S39" s="35"/>
      <x:c r="T39" s="26" t="str">
        <x:v>indeterminada</x:v>
      </x:c>
      <x:c r="U39" s="26" t="str">
        <x:v>previdencia_regime_indeterminado</x:v>
      </x:c>
      <x:c r="V39" s="34"/>
      <x:c r="W39" s="34"/>
      <x:c r="X39" s="36"/>
      <x:c r="Y39" s="33" t="str">
        <x:f>IF(V39="","",V39-Q39)</x:f>
      </x:c>
      <x:c r="Z39" s="33" t="str">
        <x:f>IF(W39="","",W39-R39)</x:f>
      </x:c>
      <x:c r="AA39" s="35" t="str">
        <x:f>IF(X39="","",X39-S39)</x:f>
      </x:c>
      <x:c r="AB39" s="37" t="n">
        <x:v>0.01</x:v>
      </x:c>
      <x:c r="AC39" s="35" t="n">
        <x:v>1e-9</x:v>
      </x:c>
      <x:c r="AD39" s="26" t="str">
        <x:f>IF(OR(V39="",W39="",X39=""),"Pendente",IF(AND(ABS(Y39)&lt;=AB39,ABS(Z39)&lt;=AB39,ABS(AA39)&lt;=AC39),"Confere","Diverge"))</x:f>
        <x:v>Pendente</x:v>
      </x:c>
      <x:c r="AE39" s="26" t="str">
        <x:v>previdencia_faq</x:v>
      </x:c>
      <x:c r="AF39" s="32" t="str">
        <x:v>https://www.gov.br/previdencia/pt-br/assuntos/previdencia-complementar/mais-informacoes/perguntas-frequentes-de-previdencia-complementar</x:v>
      </x:c>
      <x:c r="AG39" s="31"/>
      <x:c r="AH39" s="31"/>
      <x:c r="AI39" s="39"/>
      <x:c r="AJ39" s="31"/>
    </x:row>
    <x:row r="40">
      <x:c r="A40" s="26" t="str">
        <x:v>cdb_1_dia_com_iof</x:v>
      </x:c>
      <x:c r="B40" s="26" t="str">
        <x:v>renda_fixa</x:v>
      </x:c>
      <x:c r="C40" s="30" t="str">
        <x:v>conformidade_fonte_oficial</x:v>
      </x:c>
      <x:c r="D40" s="30" t="str">
        <x:v>cdb</x:v>
      </x:c>
      <x:c r="E40" s="31" t="str">
        <x:v>Pendente</x:v>
      </x:c>
      <x:c r="F40" s="33" t="n">
        <x:v>10000</x:v>
      </x:c>
      <x:c r="G40" s="33" t="n">
        <x:v>11000</x:v>
      </x:c>
      <x:c r="H40" s="33" t="n">
        <x:f>MAX(0,G40-F40)</x:f>
        <x:v>1000</x:v>
      </x:c>
      <x:c r="I40" s="38" t="n">
        <x:v>46023.5</x:v>
      </x:c>
      <x:c r="J40" s="38" t="n">
        <x:v>46024.5</x:v>
      </x:c>
      <x:c r="K40" s="40" t="n">
        <x:f>J40-I40</x:f>
        <x:v>1</x:v>
      </x:c>
      <x:c r="L40" s="30" t="str"/>
      <x:c r="M40" s="33"/>
      <x:c r="N40" s="33"/>
      <x:c r="O40" s="28" t="b">
        <x:v>1</x:v>
      </x:c>
      <x:c r="P40" s="28" t="b">
        <x:v>0</x:v>
      </x:c>
      <x:c r="Q40" s="33" t="n">
        <x:v>969</x:v>
      </x:c>
      <x:c r="R40" s="33" t="n">
        <x:v>10031</x:v>
      </x:c>
      <x:c r="S40" s="35" t="n">
        <x:v>0.969</x:v>
      </x:c>
      <x:c r="T40" s="26" t="str">
        <x:v>exata_para_premissas</x:v>
      </x:c>
      <x:c r="U40" s="26" t="str">
        <x:v>rf_regressiva_2026</x:v>
      </x:c>
      <x:c r="V40" s="34"/>
      <x:c r="W40" s="34"/>
      <x:c r="X40" s="36"/>
      <x:c r="Y40" s="33" t="str">
        <x:f>IF(V40="","",V40-Q40)</x:f>
      </x:c>
      <x:c r="Z40" s="33" t="str">
        <x:f>IF(W40="","",W40-R40)</x:f>
      </x:c>
      <x:c r="AA40" s="35" t="str">
        <x:f>IF(X40="","",X40-S40)</x:f>
      </x:c>
      <x:c r="AB40" s="37" t="n">
        <x:v>0.01</x:v>
      </x:c>
      <x:c r="AC40" s="35" t="n">
        <x:v>1e-9</x:v>
      </x:c>
      <x:c r="AD40" s="26" t="str">
        <x:f>IF(OR(V40="",W40="",X40=""),"Pendente",IF(AND(ABS(Y40)&lt;=AB40,ABS(Z40)&lt;=AB40,ABS(AA40)&lt;=AC40),"Confere","Diverge"))</x:f>
        <x:v>Pendente</x:v>
      </x:c>
      <x:c r="AE40" s="26" t="str">
        <x:v>receita_tabelas_2026</x:v>
      </x:c>
      <x:c r="AF40" s="32" t="str">
        <x:v>https://www.gov.br/receitafederal/pt-br/assuntos/meu-imposto-de-renda/tabelas/2026</x:v>
      </x:c>
      <x:c r="AG40" s="31"/>
      <x:c r="AH40" s="31"/>
      <x:c r="AI40" s="39"/>
      <x:c r="AJ40" s="31"/>
    </x:row>
    <x:row r="41">
      <x:c r="A41" s="26" t="str">
        <x:v>cdb_29_dias_com_iof</x:v>
      </x:c>
      <x:c r="B41" s="26" t="str">
        <x:v>renda_fixa</x:v>
      </x:c>
      <x:c r="C41" s="30" t="str">
        <x:v>conformidade_fonte_oficial</x:v>
      </x:c>
      <x:c r="D41" s="30" t="str">
        <x:v>cdb</x:v>
      </x:c>
      <x:c r="E41" s="31" t="str">
        <x:v>Pendente</x:v>
      </x:c>
      <x:c r="F41" s="33" t="n">
        <x:v>10000</x:v>
      </x:c>
      <x:c r="G41" s="33" t="n">
        <x:v>11000</x:v>
      </x:c>
      <x:c r="H41" s="33" t="n">
        <x:f>MAX(0,G41-F41)</x:f>
        <x:v>1000</x:v>
      </x:c>
      <x:c r="I41" s="38" t="n">
        <x:v>46023.5</x:v>
      </x:c>
      <x:c r="J41" s="38" t="n">
        <x:v>46052.5</x:v>
      </x:c>
      <x:c r="K41" s="40" t="n">
        <x:f>J41-I41</x:f>
        <x:v>29</x:v>
      </x:c>
      <x:c r="L41" s="30" t="str"/>
      <x:c r="M41" s="33"/>
      <x:c r="N41" s="33"/>
      <x:c r="O41" s="28" t="b">
        <x:v>1</x:v>
      </x:c>
      <x:c r="P41" s="28" t="b">
        <x:v>0</x:v>
      </x:c>
      <x:c r="Q41" s="33" t="n">
        <x:v>248.25</x:v>
      </x:c>
      <x:c r="R41" s="33" t="n">
        <x:v>10751.75</x:v>
      </x:c>
      <x:c r="S41" s="35" t="n">
        <x:v>0.24825</x:v>
      </x:c>
      <x:c r="T41" s="26" t="str">
        <x:v>exata_para_premissas</x:v>
      </x:c>
      <x:c r="U41" s="26" t="str">
        <x:v>rf_regressiva_2026</x:v>
      </x:c>
      <x:c r="V41" s="34"/>
      <x:c r="W41" s="34"/>
      <x:c r="X41" s="36"/>
      <x:c r="Y41" s="33" t="str">
        <x:f>IF(V41="","",V41-Q41)</x:f>
      </x:c>
      <x:c r="Z41" s="33" t="str">
        <x:f>IF(W41="","",W41-R41)</x:f>
      </x:c>
      <x:c r="AA41" s="35" t="str">
        <x:f>IF(X41="","",X41-S41)</x:f>
      </x:c>
      <x:c r="AB41" s="37" t="n">
        <x:v>0.01</x:v>
      </x:c>
      <x:c r="AC41" s="35" t="n">
        <x:v>1e-9</x:v>
      </x:c>
      <x:c r="AD41" s="26" t="str">
        <x:f>IF(OR(V41="",W41="",X41=""),"Pendente",IF(AND(ABS(Y41)&lt;=AB41,ABS(Z41)&lt;=AB41,ABS(AA41)&lt;=AC41),"Confere","Diverge"))</x:f>
        <x:v>Pendente</x:v>
      </x:c>
      <x:c r="AE41" s="26" t="str">
        <x:v>receita_tabelas_2026</x:v>
      </x:c>
      <x:c r="AF41" s="32" t="str">
        <x:v>https://www.gov.br/receitafederal/pt-br/assuntos/meu-imposto-de-renda/tabelas/2026</x:v>
      </x:c>
      <x:c r="AG41" s="31"/>
      <x:c r="AH41" s="31"/>
      <x:c r="AI41" s="39"/>
      <x:c r="AJ41" s="31"/>
    </x:row>
    <x:row r="42">
      <x:c r="A42" s="26" t="str">
        <x:v>cdb_30_dias_sem_iof</x:v>
      </x:c>
      <x:c r="B42" s="26" t="str">
        <x:v>renda_fixa</x:v>
      </x:c>
      <x:c r="C42" s="30" t="str">
        <x:v>conformidade_fonte_oficial</x:v>
      </x:c>
      <x:c r="D42" s="30" t="str">
        <x:v>cdb</x:v>
      </x:c>
      <x:c r="E42" s="31" t="str">
        <x:v>Pendente</x:v>
      </x:c>
      <x:c r="F42" s="33" t="n">
        <x:v>10000</x:v>
      </x:c>
      <x:c r="G42" s="33" t="n">
        <x:v>11000</x:v>
      </x:c>
      <x:c r="H42" s="33" t="n">
        <x:f>MAX(0,G42-F42)</x:f>
        <x:v>1000</x:v>
      </x:c>
      <x:c r="I42" s="38" t="n">
        <x:v>46023.5</x:v>
      </x:c>
      <x:c r="J42" s="38" t="n">
        <x:v>46053.5</x:v>
      </x:c>
      <x:c r="K42" s="40" t="n">
        <x:f>J42-I42</x:f>
        <x:v>30</x:v>
      </x:c>
      <x:c r="L42" s="30" t="str"/>
      <x:c r="M42" s="33"/>
      <x:c r="N42" s="33"/>
      <x:c r="O42" s="28" t="b">
        <x:v>1</x:v>
      </x:c>
      <x:c r="P42" s="28" t="b">
        <x:v>0</x:v>
      </x:c>
      <x:c r="Q42" s="33" t="n">
        <x:v>225</x:v>
      </x:c>
      <x:c r="R42" s="33" t="n">
        <x:v>10775</x:v>
      </x:c>
      <x:c r="S42" s="35" t="n">
        <x:v>0.225</x:v>
      </x:c>
      <x:c r="T42" s="26" t="str">
        <x:v>exata_para_premissas</x:v>
      </x:c>
      <x:c r="U42" s="26" t="str">
        <x:v>rf_regressiva_2026</x:v>
      </x:c>
      <x:c r="V42" s="34"/>
      <x:c r="W42" s="34"/>
      <x:c r="X42" s="36"/>
      <x:c r="Y42" s="33" t="str">
        <x:f>IF(V42="","",V42-Q42)</x:f>
      </x:c>
      <x:c r="Z42" s="33" t="str">
        <x:f>IF(W42="","",W42-R42)</x:f>
      </x:c>
      <x:c r="AA42" s="35" t="str">
        <x:f>IF(X42="","",X42-S42)</x:f>
      </x:c>
      <x:c r="AB42" s="37" t="n">
        <x:v>0.01</x:v>
      </x:c>
      <x:c r="AC42" s="35" t="n">
        <x:v>1e-9</x:v>
      </x:c>
      <x:c r="AD42" s="26" t="str">
        <x:f>IF(OR(V42="",W42="",X42=""),"Pendente",IF(AND(ABS(Y42)&lt;=AB42,ABS(Z42)&lt;=AB42,ABS(AA42)&lt;=AC42),"Confere","Diverge"))</x:f>
        <x:v>Pendente</x:v>
      </x:c>
      <x:c r="AE42" s="26" t="str">
        <x:v>receita_tabelas_2026</x:v>
      </x:c>
      <x:c r="AF42" s="32" t="str">
        <x:v>https://www.gov.br/receitafederal/pt-br/assuntos/meu-imposto-de-renda/tabelas/2026</x:v>
      </x:c>
      <x:c r="AG42" s="31"/>
      <x:c r="AH42" s="31"/>
      <x:c r="AI42" s="39"/>
      <x:c r="AJ42" s="31"/>
    </x:row>
    <x:row r="43">
      <x:c r="A43" s="26" t="str">
        <x:v>cdb_180_dias</x:v>
      </x:c>
      <x:c r="B43" s="26" t="str">
        <x:v>renda_fixa</x:v>
      </x:c>
      <x:c r="C43" s="30" t="str">
        <x:v>conformidade_fonte_oficial</x:v>
      </x:c>
      <x:c r="D43" s="30" t="str">
        <x:v>cdb</x:v>
      </x:c>
      <x:c r="E43" s="31" t="str">
        <x:v>Pendente</x:v>
      </x:c>
      <x:c r="F43" s="33" t="n">
        <x:v>10000</x:v>
      </x:c>
      <x:c r="G43" s="33" t="n">
        <x:v>11000</x:v>
      </x:c>
      <x:c r="H43" s="33" t="n">
        <x:f>MAX(0,G43-F43)</x:f>
        <x:v>1000</x:v>
      </x:c>
      <x:c r="I43" s="38" t="n">
        <x:v>46023.5</x:v>
      </x:c>
      <x:c r="J43" s="38" t="n">
        <x:v>46203.5</x:v>
      </x:c>
      <x:c r="K43" s="40" t="n">
        <x:f>J43-I43</x:f>
        <x:v>180</x:v>
      </x:c>
      <x:c r="L43" s="30" t="str"/>
      <x:c r="M43" s="33"/>
      <x:c r="N43" s="33"/>
      <x:c r="O43" s="28" t="b">
        <x:v>1</x:v>
      </x:c>
      <x:c r="P43" s="28" t="b">
        <x:v>0</x:v>
      </x:c>
      <x:c r="Q43" s="33" t="n">
        <x:v>225</x:v>
      </x:c>
      <x:c r="R43" s="33" t="n">
        <x:v>10775</x:v>
      </x:c>
      <x:c r="S43" s="35" t="n">
        <x:v>0.225</x:v>
      </x:c>
      <x:c r="T43" s="26" t="str">
        <x:v>exata_para_premissas</x:v>
      </x:c>
      <x:c r="U43" s="26" t="str">
        <x:v>rf_regressiva_2026</x:v>
      </x:c>
      <x:c r="V43" s="34"/>
      <x:c r="W43" s="34"/>
      <x:c r="X43" s="36"/>
      <x:c r="Y43" s="33" t="str">
        <x:f>IF(V43="","",V43-Q43)</x:f>
      </x:c>
      <x:c r="Z43" s="33" t="str">
        <x:f>IF(W43="","",W43-R43)</x:f>
      </x:c>
      <x:c r="AA43" s="35" t="str">
        <x:f>IF(X43="","",X43-S43)</x:f>
      </x:c>
      <x:c r="AB43" s="37" t="n">
        <x:v>0.01</x:v>
      </x:c>
      <x:c r="AC43" s="35" t="n">
        <x:v>1e-9</x:v>
      </x:c>
      <x:c r="AD43" s="26" t="str">
        <x:f>IF(OR(V43="",W43="",X43=""),"Pendente",IF(AND(ABS(Y43)&lt;=AB43,ABS(Z43)&lt;=AB43,ABS(AA43)&lt;=AC43),"Confere","Diverge"))</x:f>
        <x:v>Pendente</x:v>
      </x:c>
      <x:c r="AE43" s="26" t="str">
        <x:v>receita_tabelas_2026</x:v>
      </x:c>
      <x:c r="AF43" s="32" t="str">
        <x:v>https://www.gov.br/receitafederal/pt-br/assuntos/meu-imposto-de-renda/tabelas/2026</x:v>
      </x:c>
      <x:c r="AG43" s="31"/>
      <x:c r="AH43" s="31"/>
      <x:c r="AI43" s="39"/>
      <x:c r="AJ43" s="31"/>
    </x:row>
    <x:row r="44">
      <x:c r="A44" s="26" t="str">
        <x:v>cdb_181_dias</x:v>
      </x:c>
      <x:c r="B44" s="26" t="str">
        <x:v>renda_fixa</x:v>
      </x:c>
      <x:c r="C44" s="30" t="str">
        <x:v>conformidade_fonte_oficial</x:v>
      </x:c>
      <x:c r="D44" s="30" t="str">
        <x:v>cdb</x:v>
      </x:c>
      <x:c r="E44" s="31" t="str">
        <x:v>Pendente</x:v>
      </x:c>
      <x:c r="F44" s="33" t="n">
        <x:v>10000</x:v>
      </x:c>
      <x:c r="G44" s="33" t="n">
        <x:v>11000</x:v>
      </x:c>
      <x:c r="H44" s="33" t="n">
        <x:f>MAX(0,G44-F44)</x:f>
        <x:v>1000</x:v>
      </x:c>
      <x:c r="I44" s="38" t="n">
        <x:v>46023.5</x:v>
      </x:c>
      <x:c r="J44" s="38" t="n">
        <x:v>46204.5</x:v>
      </x:c>
      <x:c r="K44" s="40" t="n">
        <x:f>J44-I44</x:f>
        <x:v>181</x:v>
      </x:c>
      <x:c r="L44" s="30" t="str"/>
      <x:c r="M44" s="33"/>
      <x:c r="N44" s="33"/>
      <x:c r="O44" s="28" t="b">
        <x:v>1</x:v>
      </x:c>
      <x:c r="P44" s="28" t="b">
        <x:v>0</x:v>
      </x:c>
      <x:c r="Q44" s="33" t="n">
        <x:v>200</x:v>
      </x:c>
      <x:c r="R44" s="33" t="n">
        <x:v>10800</x:v>
      </x:c>
      <x:c r="S44" s="35" t="n">
        <x:v>0.2</x:v>
      </x:c>
      <x:c r="T44" s="26" t="str">
        <x:v>exata_para_premissas</x:v>
      </x:c>
      <x:c r="U44" s="26" t="str">
        <x:v>rf_regressiva_2026</x:v>
      </x:c>
      <x:c r="V44" s="34"/>
      <x:c r="W44" s="34"/>
      <x:c r="X44" s="36"/>
      <x:c r="Y44" s="33" t="str">
        <x:f>IF(V44="","",V44-Q44)</x:f>
      </x:c>
      <x:c r="Z44" s="33" t="str">
        <x:f>IF(W44="","",W44-R44)</x:f>
      </x:c>
      <x:c r="AA44" s="35" t="str">
        <x:f>IF(X44="","",X44-S44)</x:f>
      </x:c>
      <x:c r="AB44" s="37" t="n">
        <x:v>0.01</x:v>
      </x:c>
      <x:c r="AC44" s="35" t="n">
        <x:v>1e-9</x:v>
      </x:c>
      <x:c r="AD44" s="26" t="str">
        <x:f>IF(OR(V44="",W44="",X44=""),"Pendente",IF(AND(ABS(Y44)&lt;=AB44,ABS(Z44)&lt;=AB44,ABS(AA44)&lt;=AC44),"Confere","Diverge"))</x:f>
        <x:v>Pendente</x:v>
      </x:c>
      <x:c r="AE44" s="26" t="str">
        <x:v>receita_tabelas_2026</x:v>
      </x:c>
      <x:c r="AF44" s="32" t="str">
        <x:v>https://www.gov.br/receitafederal/pt-br/assuntos/meu-imposto-de-renda/tabelas/2026</x:v>
      </x:c>
      <x:c r="AG44" s="31"/>
      <x:c r="AH44" s="31"/>
      <x:c r="AI44" s="39"/>
      <x:c r="AJ44" s="31"/>
    </x:row>
    <x:row r="45">
      <x:c r="A45" s="26" t="str">
        <x:v>cdb_360_dias</x:v>
      </x:c>
      <x:c r="B45" s="26" t="str">
        <x:v>renda_fixa</x:v>
      </x:c>
      <x:c r="C45" s="30" t="str">
        <x:v>conformidade_fonte_oficial</x:v>
      </x:c>
      <x:c r="D45" s="30" t="str">
        <x:v>cdb</x:v>
      </x:c>
      <x:c r="E45" s="31" t="str">
        <x:v>Pendente</x:v>
      </x:c>
      <x:c r="F45" s="33" t="n">
        <x:v>10000</x:v>
      </x:c>
      <x:c r="G45" s="33" t="n">
        <x:v>11000</x:v>
      </x:c>
      <x:c r="H45" s="33" t="n">
        <x:f>MAX(0,G45-F45)</x:f>
        <x:v>1000</x:v>
      </x:c>
      <x:c r="I45" s="38" t="n">
        <x:v>46023.5</x:v>
      </x:c>
      <x:c r="J45" s="38" t="n">
        <x:v>46383.5</x:v>
      </x:c>
      <x:c r="K45" s="40" t="n">
        <x:f>J45-I45</x:f>
        <x:v>360</x:v>
      </x:c>
      <x:c r="L45" s="30" t="str"/>
      <x:c r="M45" s="33"/>
      <x:c r="N45" s="33"/>
      <x:c r="O45" s="28" t="b">
        <x:v>1</x:v>
      </x:c>
      <x:c r="P45" s="28" t="b">
        <x:v>0</x:v>
      </x:c>
      <x:c r="Q45" s="33" t="n">
        <x:v>200</x:v>
      </x:c>
      <x:c r="R45" s="33" t="n">
        <x:v>10800</x:v>
      </x:c>
      <x:c r="S45" s="35" t="n">
        <x:v>0.2</x:v>
      </x:c>
      <x:c r="T45" s="26" t="str">
        <x:v>exata_para_premissas</x:v>
      </x:c>
      <x:c r="U45" s="26" t="str">
        <x:v>rf_regressiva_2026</x:v>
      </x:c>
      <x:c r="V45" s="34"/>
      <x:c r="W45" s="34"/>
      <x:c r="X45" s="36"/>
      <x:c r="Y45" s="33" t="str">
        <x:f>IF(V45="","",V45-Q45)</x:f>
      </x:c>
      <x:c r="Z45" s="33" t="str">
        <x:f>IF(W45="","",W45-R45)</x:f>
      </x:c>
      <x:c r="AA45" s="35" t="str">
        <x:f>IF(X45="","",X45-S45)</x:f>
      </x:c>
      <x:c r="AB45" s="37" t="n">
        <x:v>0.01</x:v>
      </x:c>
      <x:c r="AC45" s="35" t="n">
        <x:v>1e-9</x:v>
      </x:c>
      <x:c r="AD45" s="26" t="str">
        <x:f>IF(OR(V45="",W45="",X45=""),"Pendente",IF(AND(ABS(Y45)&lt;=AB45,ABS(Z45)&lt;=AB45,ABS(AA45)&lt;=AC45),"Confere","Diverge"))</x:f>
        <x:v>Pendente</x:v>
      </x:c>
      <x:c r="AE45" s="26" t="str">
        <x:v>receita_tabelas_2026</x:v>
      </x:c>
      <x:c r="AF45" s="32" t="str">
        <x:v>https://www.gov.br/receitafederal/pt-br/assuntos/meu-imposto-de-renda/tabelas/2026</x:v>
      </x:c>
      <x:c r="AG45" s="31"/>
      <x:c r="AH45" s="31"/>
      <x:c r="AI45" s="39"/>
      <x:c r="AJ45" s="31"/>
    </x:row>
    <x:row r="46">
      <x:c r="A46" s="26" t="str">
        <x:v>cdb_361_dias</x:v>
      </x:c>
      <x:c r="B46" s="26" t="str">
        <x:v>renda_fixa</x:v>
      </x:c>
      <x:c r="C46" s="30" t="str">
        <x:v>conformidade_fonte_oficial</x:v>
      </x:c>
      <x:c r="D46" s="30" t="str">
        <x:v>cdb</x:v>
      </x:c>
      <x:c r="E46" s="31" t="str">
        <x:v>Pendente</x:v>
      </x:c>
      <x:c r="F46" s="33" t="n">
        <x:v>10000</x:v>
      </x:c>
      <x:c r="G46" s="33" t="n">
        <x:v>11000</x:v>
      </x:c>
      <x:c r="H46" s="33" t="n">
        <x:f>MAX(0,G46-F46)</x:f>
        <x:v>1000</x:v>
      </x:c>
      <x:c r="I46" s="38" t="n">
        <x:v>46023.5</x:v>
      </x:c>
      <x:c r="J46" s="38" t="n">
        <x:v>46384.5</x:v>
      </x:c>
      <x:c r="K46" s="40" t="n">
        <x:f>J46-I46</x:f>
        <x:v>361</x:v>
      </x:c>
      <x:c r="L46" s="30" t="str"/>
      <x:c r="M46" s="33"/>
      <x:c r="N46" s="33"/>
      <x:c r="O46" s="28" t="b">
        <x:v>1</x:v>
      </x:c>
      <x:c r="P46" s="28" t="b">
        <x:v>0</x:v>
      </x:c>
      <x:c r="Q46" s="33" t="n">
        <x:v>175</x:v>
      </x:c>
      <x:c r="R46" s="33" t="n">
        <x:v>10825</x:v>
      </x:c>
      <x:c r="S46" s="35" t="n">
        <x:v>0.175</x:v>
      </x:c>
      <x:c r="T46" s="26" t="str">
        <x:v>exata_para_premissas</x:v>
      </x:c>
      <x:c r="U46" s="26" t="str">
        <x:v>rf_regressiva_2026</x:v>
      </x:c>
      <x:c r="V46" s="34"/>
      <x:c r="W46" s="34"/>
      <x:c r="X46" s="36"/>
      <x:c r="Y46" s="33" t="str">
        <x:f>IF(V46="","",V46-Q46)</x:f>
      </x:c>
      <x:c r="Z46" s="33" t="str">
        <x:f>IF(W46="","",W46-R46)</x:f>
      </x:c>
      <x:c r="AA46" s="35" t="str">
        <x:f>IF(X46="","",X46-S46)</x:f>
      </x:c>
      <x:c r="AB46" s="37" t="n">
        <x:v>0.01</x:v>
      </x:c>
      <x:c r="AC46" s="35" t="n">
        <x:v>1e-9</x:v>
      </x:c>
      <x:c r="AD46" s="26" t="str">
        <x:f>IF(OR(V46="",W46="",X46=""),"Pendente",IF(AND(ABS(Y46)&lt;=AB46,ABS(Z46)&lt;=AB46,ABS(AA46)&lt;=AC46),"Confere","Diverge"))</x:f>
        <x:v>Pendente</x:v>
      </x:c>
      <x:c r="AE46" s="26" t="str">
        <x:v>receita_tabelas_2026</x:v>
      </x:c>
      <x:c r="AF46" s="32" t="str">
        <x:v>https://www.gov.br/receitafederal/pt-br/assuntos/meu-imposto-de-renda/tabelas/2026</x:v>
      </x:c>
      <x:c r="AG46" s="31"/>
      <x:c r="AH46" s="31"/>
      <x:c r="AI46" s="39"/>
      <x:c r="AJ46" s="31"/>
    </x:row>
    <x:row r="47">
      <x:c r="A47" s="26" t="str">
        <x:v>cdb_720_dias</x:v>
      </x:c>
      <x:c r="B47" s="26" t="str">
        <x:v>renda_fixa</x:v>
      </x:c>
      <x:c r="C47" s="30" t="str">
        <x:v>conformidade_fonte_oficial</x:v>
      </x:c>
      <x:c r="D47" s="30" t="str">
        <x:v>cdb</x:v>
      </x:c>
      <x:c r="E47" s="31" t="str">
        <x:v>Pendente</x:v>
      </x:c>
      <x:c r="F47" s="33" t="n">
        <x:v>10000</x:v>
      </x:c>
      <x:c r="G47" s="33" t="n">
        <x:v>11000</x:v>
      </x:c>
      <x:c r="H47" s="33" t="n">
        <x:f>MAX(0,G47-F47)</x:f>
        <x:v>1000</x:v>
      </x:c>
      <x:c r="I47" s="38" t="n">
        <x:v>46023.5</x:v>
      </x:c>
      <x:c r="J47" s="38" t="n">
        <x:v>46743.5</x:v>
      </x:c>
      <x:c r="K47" s="40" t="n">
        <x:f>J47-I47</x:f>
        <x:v>720</x:v>
      </x:c>
      <x:c r="L47" s="30" t="str"/>
      <x:c r="M47" s="33"/>
      <x:c r="N47" s="33"/>
      <x:c r="O47" s="28" t="b">
        <x:v>1</x:v>
      </x:c>
      <x:c r="P47" s="28" t="b">
        <x:v>0</x:v>
      </x:c>
      <x:c r="Q47" s="33" t="n">
        <x:v>175</x:v>
      </x:c>
      <x:c r="R47" s="33" t="n">
        <x:v>10825</x:v>
      </x:c>
      <x:c r="S47" s="35" t="n">
        <x:v>0.175</x:v>
      </x:c>
      <x:c r="T47" s="26" t="str">
        <x:v>exata_para_premissas</x:v>
      </x:c>
      <x:c r="U47" s="26" t="str">
        <x:v>rf_regressiva_2026</x:v>
      </x:c>
      <x:c r="V47" s="34"/>
      <x:c r="W47" s="34"/>
      <x:c r="X47" s="36"/>
      <x:c r="Y47" s="33" t="str">
        <x:f>IF(V47="","",V47-Q47)</x:f>
      </x:c>
      <x:c r="Z47" s="33" t="str">
        <x:f>IF(W47="","",W47-R47)</x:f>
      </x:c>
      <x:c r="AA47" s="35" t="str">
        <x:f>IF(X47="","",X47-S47)</x:f>
      </x:c>
      <x:c r="AB47" s="37" t="n">
        <x:v>0.01</x:v>
      </x:c>
      <x:c r="AC47" s="35" t="n">
        <x:v>1e-9</x:v>
      </x:c>
      <x:c r="AD47" s="26" t="str">
        <x:f>IF(OR(V47="",W47="",X47=""),"Pendente",IF(AND(ABS(Y47)&lt;=AB47,ABS(Z47)&lt;=AB47,ABS(AA47)&lt;=AC47),"Confere","Diverge"))</x:f>
        <x:v>Pendente</x:v>
      </x:c>
      <x:c r="AE47" s="26" t="str">
        <x:v>receita_tabelas_2026</x:v>
      </x:c>
      <x:c r="AF47" s="32" t="str">
        <x:v>https://www.gov.br/receitafederal/pt-br/assuntos/meu-imposto-de-renda/tabelas/2026</x:v>
      </x:c>
      <x:c r="AG47" s="31"/>
      <x:c r="AH47" s="31"/>
      <x:c r="AI47" s="39"/>
      <x:c r="AJ47" s="31"/>
    </x:row>
    <x:row r="48">
      <x:c r="A48" s="26" t="str">
        <x:v>cdb_721_dias</x:v>
      </x:c>
      <x:c r="B48" s="26" t="str">
        <x:v>renda_fixa</x:v>
      </x:c>
      <x:c r="C48" s="30" t="str">
        <x:v>conformidade_fonte_oficial</x:v>
      </x:c>
      <x:c r="D48" s="30" t="str">
        <x:v>cdb</x:v>
      </x:c>
      <x:c r="E48" s="31" t="str">
        <x:v>Pendente</x:v>
      </x:c>
      <x:c r="F48" s="33" t="n">
        <x:v>10000</x:v>
      </x:c>
      <x:c r="G48" s="33" t="n">
        <x:v>11000</x:v>
      </x:c>
      <x:c r="H48" s="33" t="n">
        <x:f>MAX(0,G48-F48)</x:f>
        <x:v>1000</x:v>
      </x:c>
      <x:c r="I48" s="38" t="n">
        <x:v>46023.5</x:v>
      </x:c>
      <x:c r="J48" s="38" t="n">
        <x:v>46744.5</x:v>
      </x:c>
      <x:c r="K48" s="40" t="n">
        <x:f>J48-I48</x:f>
        <x:v>721</x:v>
      </x:c>
      <x:c r="L48" s="30" t="str"/>
      <x:c r="M48" s="33"/>
      <x:c r="N48" s="33"/>
      <x:c r="O48" s="28" t="b">
        <x:v>1</x:v>
      </x:c>
      <x:c r="P48" s="28" t="b">
        <x:v>0</x:v>
      </x:c>
      <x:c r="Q48" s="33" t="n">
        <x:v>150</x:v>
      </x:c>
      <x:c r="R48" s="33" t="n">
        <x:v>10850</x:v>
      </x:c>
      <x:c r="S48" s="35" t="n">
        <x:v>0.15</x:v>
      </x:c>
      <x:c r="T48" s="26" t="str">
        <x:v>exata_para_premissas</x:v>
      </x:c>
      <x:c r="U48" s="26" t="str">
        <x:v>rf_regressiva_2026</x:v>
      </x:c>
      <x:c r="V48" s="34"/>
      <x:c r="W48" s="34"/>
      <x:c r="X48" s="36"/>
      <x:c r="Y48" s="33" t="str">
        <x:f>IF(V48="","",V48-Q48)</x:f>
      </x:c>
      <x:c r="Z48" s="33" t="str">
        <x:f>IF(W48="","",W48-R48)</x:f>
      </x:c>
      <x:c r="AA48" s="35" t="str">
        <x:f>IF(X48="","",X48-S48)</x:f>
      </x:c>
      <x:c r="AB48" s="37" t="n">
        <x:v>0.01</x:v>
      </x:c>
      <x:c r="AC48" s="35" t="n">
        <x:v>1e-9</x:v>
      </x:c>
      <x:c r="AD48" s="26" t="str">
        <x:f>IF(OR(V48="",W48="",X48=""),"Pendente",IF(AND(ABS(Y48)&lt;=AB48,ABS(Z48)&lt;=AB48,ABS(AA48)&lt;=AC48),"Confere","Diverge"))</x:f>
        <x:v>Pendente</x:v>
      </x:c>
      <x:c r="AE48" s="26" t="str">
        <x:v>receita_tabelas_2026</x:v>
      </x:c>
      <x:c r="AF48" s="32" t="str">
        <x:v>https://www.gov.br/receitafederal/pt-br/assuntos/meu-imposto-de-renda/tabelas/2026</x:v>
      </x:c>
      <x:c r="AG48" s="31"/>
      <x:c r="AH48" s="31"/>
      <x:c r="AI48" s="39"/>
      <x:c r="AJ48" s="31"/>
    </x:row>
    <x:row r="49">
      <x:c r="A49" s="26" t="str">
        <x:v>lci_pessoa_fisica_isenta</x:v>
      </x:c>
      <x:c r="B49" s="26" t="str">
        <x:v>renda_fixa</x:v>
      </x:c>
      <x:c r="C49" s="30" t="str">
        <x:v>regressao_implementacao_pendente_revisao</x:v>
      </x:c>
      <x:c r="D49" s="30" t="str">
        <x:v>lci</x:v>
      </x:c>
      <x:c r="E49" s="31" t="str">
        <x:v>Pendente</x:v>
      </x:c>
      <x:c r="F49" s="33" t="n">
        <x:v>10000</x:v>
      </x:c>
      <x:c r="G49" s="33" t="n">
        <x:v>11000</x:v>
      </x:c>
      <x:c r="H49" s="33" t="n">
        <x:f>MAX(0,G49-F49)</x:f>
        <x:v>1000</x:v>
      </x:c>
      <x:c r="I49" s="38" t="n">
        <x:v>46023.5</x:v>
      </x:c>
      <x:c r="J49" s="38" t="n">
        <x:v>46204.5</x:v>
      </x:c>
      <x:c r="K49" s="40" t="n">
        <x:f>J49-I49</x:f>
        <x:v>181</x:v>
      </x:c>
      <x:c r="L49" s="30" t="str"/>
      <x:c r="M49" s="33"/>
      <x:c r="N49" s="33"/>
      <x:c r="O49" s="28" t="b">
        <x:v>1</x:v>
      </x:c>
      <x:c r="P49" s="28" t="b">
        <x:v>0</x:v>
      </x:c>
      <x:c r="Q49" s="33" t="n">
        <x:v>0</x:v>
      </x:c>
      <x:c r="R49" s="33" t="n">
        <x:v>11000</x:v>
      </x:c>
      <x:c r="S49" s="35" t="n">
        <x:v>0</x:v>
      </x:c>
      <x:c r="T49" s="26" t="str">
        <x:v>exata_para_premissas</x:v>
      </x:c>
      <x:c r="U49" s="26" t="str">
        <x:v>rf_isenta_pf_2026</x:v>
      </x:c>
      <x:c r="V49" s="34"/>
      <x:c r="W49" s="34"/>
      <x:c r="X49" s="36"/>
      <x:c r="Y49" s="33" t="str">
        <x:f>IF(V49="","",V49-Q49)</x:f>
      </x:c>
      <x:c r="Z49" s="33" t="str">
        <x:f>IF(W49="","",W49-R49)</x:f>
      </x:c>
      <x:c r="AA49" s="35" t="str">
        <x:f>IF(X49="","",X49-S49)</x:f>
      </x:c>
      <x:c r="AB49" s="37" t="n">
        <x:v>0.01</x:v>
      </x:c>
      <x:c r="AC49" s="35" t="n">
        <x:v>1e-9</x:v>
      </x:c>
      <x:c r="AD49" s="26" t="str">
        <x:f>IF(OR(V49="",W49="",X49=""),"Pendente",IF(AND(ABS(Y49)&lt;=AB49,ABS(Z49)&lt;=AB49,ABS(AA49)&lt;=AC49),"Confere","Diverge"))</x:f>
        <x:v>Pendente</x:v>
      </x:c>
      <x:c r="AE49" s="26" t="str">
        <x:v>receita_tabelas_2026</x:v>
      </x:c>
      <x:c r="AF49" s="32" t="str">
        <x:v>https://www.gov.br/receitafederal/pt-br/assuntos/meu-imposto-de-renda/tabelas/2026</x:v>
      </x:c>
      <x:c r="AG49" s="31"/>
      <x:c r="AH49" s="31"/>
      <x:c r="AI49" s="39"/>
      <x:c r="AJ49" s="31"/>
    </x:row>
    <x:row r="50">
      <x:c r="A50" s="26" t="str">
        <x:v>lca_pessoa_fisica_isenta</x:v>
      </x:c>
      <x:c r="B50" s="26" t="str">
        <x:v>renda_fixa</x:v>
      </x:c>
      <x:c r="C50" s="30" t="str">
        <x:v>regressao_implementacao_pendente_revisao</x:v>
      </x:c>
      <x:c r="D50" s="30" t="str">
        <x:v>lca</x:v>
      </x:c>
      <x:c r="E50" s="31" t="str">
        <x:v>Pendente</x:v>
      </x:c>
      <x:c r="F50" s="33" t="n">
        <x:v>10000</x:v>
      </x:c>
      <x:c r="G50" s="33" t="n">
        <x:v>11000</x:v>
      </x:c>
      <x:c r="H50" s="33" t="n">
        <x:f>MAX(0,G50-F50)</x:f>
        <x:v>1000</x:v>
      </x:c>
      <x:c r="I50" s="38" t="n">
        <x:v>46023.5</x:v>
      </x:c>
      <x:c r="J50" s="38" t="n">
        <x:v>46744.5</x:v>
      </x:c>
      <x:c r="K50" s="40" t="n">
        <x:f>J50-I50</x:f>
        <x:v>721</x:v>
      </x:c>
      <x:c r="L50" s="30" t="str"/>
      <x:c r="M50" s="33"/>
      <x:c r="N50" s="33"/>
      <x:c r="O50" s="28" t="b">
        <x:v>1</x:v>
      </x:c>
      <x:c r="P50" s="28" t="b">
        <x:v>0</x:v>
      </x:c>
      <x:c r="Q50" s="33" t="n">
        <x:v>0</x:v>
      </x:c>
      <x:c r="R50" s="33" t="n">
        <x:v>11000</x:v>
      </x:c>
      <x:c r="S50" s="35" t="n">
        <x:v>0</x:v>
      </x:c>
      <x:c r="T50" s="26" t="str">
        <x:v>exata_para_premissas</x:v>
      </x:c>
      <x:c r="U50" s="26" t="str">
        <x:v>rf_isenta_pf_2026</x:v>
      </x:c>
      <x:c r="V50" s="34"/>
      <x:c r="W50" s="34"/>
      <x:c r="X50" s="36"/>
      <x:c r="Y50" s="33" t="str">
        <x:f>IF(V50="","",V50-Q50)</x:f>
      </x:c>
      <x:c r="Z50" s="33" t="str">
        <x:f>IF(W50="","",W50-R50)</x:f>
      </x:c>
      <x:c r="AA50" s="35" t="str">
        <x:f>IF(X50="","",X50-S50)</x:f>
      </x:c>
      <x:c r="AB50" s="37" t="n">
        <x:v>0.01</x:v>
      </x:c>
      <x:c r="AC50" s="35" t="n">
        <x:v>1e-9</x:v>
      </x:c>
      <x:c r="AD50" s="26" t="str">
        <x:f>IF(OR(V50="",W50="",X50=""),"Pendente",IF(AND(ABS(Y50)&lt;=AB50,ABS(Z50)&lt;=AB50,ABS(AA50)&lt;=AC50),"Confere","Diverge"))</x:f>
        <x:v>Pendente</x:v>
      </x:c>
      <x:c r="AE50" s="26" t="str">
        <x:v>receita_tabelas_2026</x:v>
      </x:c>
      <x:c r="AF50" s="32" t="str">
        <x:v>https://www.gov.br/receitafederal/pt-br/assuntos/meu-imposto-de-renda/tabelas/2026</x:v>
      </x:c>
      <x:c r="AG50" s="31"/>
      <x:c r="AH50" s="31"/>
      <x:c r="AI50" s="39"/>
      <x:c r="AJ50" s="31"/>
    </x:row>
    <x:row r="51">
      <x:c r="A51" s="26" t="str">
        <x:v>lci_pessoa_juridica_nao_isenta</x:v>
      </x:c>
      <x:c r="B51" s="26" t="str">
        <x:v>renda_fixa</x:v>
      </x:c>
      <x:c r="C51" s="30" t="str">
        <x:v>regressao_implementacao_pendente_revisao</x:v>
      </x:c>
      <x:c r="D51" s="30" t="str">
        <x:v>lci</x:v>
      </x:c>
      <x:c r="E51" s="31" t="str">
        <x:v>Pendente</x:v>
      </x:c>
      <x:c r="F51" s="33" t="n">
        <x:v>10000</x:v>
      </x:c>
      <x:c r="G51" s="33" t="n">
        <x:v>11000</x:v>
      </x:c>
      <x:c r="H51" s="33" t="n">
        <x:f>MAX(0,G51-F51)</x:f>
        <x:v>1000</x:v>
      </x:c>
      <x:c r="I51" s="38" t="n">
        <x:v>46023.5</x:v>
      </x:c>
      <x:c r="J51" s="38" t="n">
        <x:v>46744.5</x:v>
      </x:c>
      <x:c r="K51" s="40" t="n">
        <x:f>J51-I51</x:f>
        <x:v>721</x:v>
      </x:c>
      <x:c r="L51" s="30" t="str"/>
      <x:c r="M51" s="33"/>
      <x:c r="N51" s="33"/>
      <x:c r="O51" s="28" t="b">
        <x:v>0</x:v>
      </x:c>
      <x:c r="P51" s="28" t="b">
        <x:v>0</x:v>
      </x:c>
      <x:c r="Q51" s="33" t="n">
        <x:v>150</x:v>
      </x:c>
      <x:c r="R51" s="33" t="n">
        <x:v>10850</x:v>
      </x:c>
      <x:c r="S51" s="35" t="n">
        <x:v>0.15</x:v>
      </x:c>
      <x:c r="T51" s="26" t="str">
        <x:v>exata_para_premissas</x:v>
      </x:c>
      <x:c r="U51" s="26" t="str">
        <x:v>rf_regressiva_2026</x:v>
      </x:c>
      <x:c r="V51" s="34"/>
      <x:c r="W51" s="34"/>
      <x:c r="X51" s="36"/>
      <x:c r="Y51" s="33" t="str">
        <x:f>IF(V51="","",V51-Q51)</x:f>
      </x:c>
      <x:c r="Z51" s="33" t="str">
        <x:f>IF(W51="","",W51-R51)</x:f>
      </x:c>
      <x:c r="AA51" s="35" t="str">
        <x:f>IF(X51="","",X51-S51)</x:f>
      </x:c>
      <x:c r="AB51" s="37" t="n">
        <x:v>0.01</x:v>
      </x:c>
      <x:c r="AC51" s="35" t="n">
        <x:v>1e-9</x:v>
      </x:c>
      <x:c r="AD51" s="26" t="str">
        <x:f>IF(OR(V51="",W51="",X51=""),"Pendente",IF(AND(ABS(Y51)&lt;=AB51,ABS(Z51)&lt;=AB51,ABS(AA51)&lt;=AC51),"Confere","Diverge"))</x:f>
        <x:v>Pendente</x:v>
      </x:c>
      <x:c r="AE51" s="26" t="str">
        <x:v>receita_tabelas_2026</x:v>
      </x:c>
      <x:c r="AF51" s="32" t="str">
        <x:v>https://www.gov.br/receitafederal/pt-br/assuntos/meu-imposto-de-renda/tabelas/2026</x:v>
      </x:c>
      <x:c r="AG51" s="31"/>
      <x:c r="AH51" s="31"/>
      <x:c r="AI51" s="39"/>
      <x:c r="AJ51" s="31"/>
    </x:row>
    <x:row r="52">
      <x:c r="A52" s="26" t="str">
        <x:v>cdb_sem_ganho</x:v>
      </x:c>
      <x:c r="B52" s="26" t="str">
        <x:v>renda_fixa</x:v>
      </x:c>
      <x:c r="C52" s="30" t="str">
        <x:v>conformidade_fonte_oficial</x:v>
      </x:c>
      <x:c r="D52" s="30" t="str">
        <x:v>cdb</x:v>
      </x:c>
      <x:c r="E52" s="31" t="str">
        <x:v>Pendente</x:v>
      </x:c>
      <x:c r="F52" s="33" t="n">
        <x:v>10000</x:v>
      </x:c>
      <x:c r="G52" s="33" t="n">
        <x:v>10000</x:v>
      </x:c>
      <x:c r="H52" s="33" t="n">
        <x:f>MAX(0,G52-F52)</x:f>
        <x:v>0</x:v>
      </x:c>
      <x:c r="I52" s="38" t="n">
        <x:v>46023.5</x:v>
      </x:c>
      <x:c r="J52" s="38" t="n">
        <x:v>46744.5</x:v>
      </x:c>
      <x:c r="K52" s="40" t="n">
        <x:f>J52-I52</x:f>
        <x:v>721</x:v>
      </x:c>
      <x:c r="L52" s="30" t="str"/>
      <x:c r="M52" s="33"/>
      <x:c r="N52" s="33"/>
      <x:c r="O52" s="28" t="b">
        <x:v>1</x:v>
      </x:c>
      <x:c r="P52" s="28" t="b">
        <x:v>0</x:v>
      </x:c>
      <x:c r="Q52" s="33" t="n">
        <x:v>0</x:v>
      </x:c>
      <x:c r="R52" s="33" t="n">
        <x:v>10000</x:v>
      </x:c>
      <x:c r="S52" s="35" t="n">
        <x:v>0</x:v>
      </x:c>
      <x:c r="T52" s="26" t="str">
        <x:v>exata_para_premissas</x:v>
      </x:c>
      <x:c r="U52" s="26" t="str">
        <x:v>rf_regressiva_2026</x:v>
      </x:c>
      <x:c r="V52" s="34"/>
      <x:c r="W52" s="34"/>
      <x:c r="X52" s="36"/>
      <x:c r="Y52" s="33" t="str">
        <x:f>IF(V52="","",V52-Q52)</x:f>
      </x:c>
      <x:c r="Z52" s="33" t="str">
        <x:f>IF(W52="","",W52-R52)</x:f>
      </x:c>
      <x:c r="AA52" s="35" t="str">
        <x:f>IF(X52="","",X52-S52)</x:f>
      </x:c>
      <x:c r="AB52" s="37" t="n">
        <x:v>0.01</x:v>
      </x:c>
      <x:c r="AC52" s="35" t="n">
        <x:v>1e-9</x:v>
      </x:c>
      <x:c r="AD52" s="26" t="str">
        <x:f>IF(OR(V52="",W52="",X52=""),"Pendente",IF(AND(ABS(Y52)&lt;=AB52,ABS(Z52)&lt;=AB52,ABS(AA52)&lt;=AC52),"Confere","Diverge"))</x:f>
        <x:v>Pendente</x:v>
      </x:c>
      <x:c r="AE52" s="26" t="str">
        <x:v>receita_tabelas_2026</x:v>
      </x:c>
      <x:c r="AF52" s="32" t="str">
        <x:v>https://www.gov.br/receitafederal/pt-br/assuntos/meu-imposto-de-renda/tabelas/2026</x:v>
      </x:c>
      <x:c r="AG52" s="31"/>
      <x:c r="AH52" s="31"/>
      <x:c r="AI52" s="39"/>
      <x:c r="AJ52" s="31"/>
    </x:row>
    <x:row r="53">
      <x:c r="A53" s="26" t="str">
        <x:v>acao_comum_vendas_20000_isenta</x:v>
      </x:c>
      <x:c r="B53" s="26" t="str">
        <x:v>renda_variavel</x:v>
      </x:c>
      <x:c r="C53" s="30" t="str">
        <x:v>conformidade_fonte_oficial</x:v>
      </x:c>
      <x:c r="D53" s="30" t="str">
        <x:v>acao</x:v>
      </x:c>
      <x:c r="E53" s="31" t="str">
        <x:v>Pendente</x:v>
      </x:c>
      <x:c r="F53" s="33" t="n">
        <x:v>10000</x:v>
      </x:c>
      <x:c r="G53" s="33" t="n">
        <x:v>11000</x:v>
      </x:c>
      <x:c r="H53" s="33" t="n">
        <x:f>MAX(0,G53-F53)</x:f>
        <x:v>1000</x:v>
      </x:c>
      <x:c r="I53" s="38" t="n">
        <x:v>46023.5</x:v>
      </x:c>
      <x:c r="J53" s="38" t="n">
        <x:v>46204.5</x:v>
      </x:c>
      <x:c r="K53" s="40" t="n">
        <x:f>J53-I53</x:f>
        <x:v>181</x:v>
      </x:c>
      <x:c r="L53" s="30" t="str"/>
      <x:c r="M53" s="33" t="n">
        <x:v>20000</x:v>
      </x:c>
      <x:c r="N53" s="33"/>
      <x:c r="O53" s="28" t="b">
        <x:v>1</x:v>
      </x:c>
      <x:c r="P53" s="28" t="b">
        <x:v>0</x:v>
      </x:c>
      <x:c r="Q53" s="33" t="n">
        <x:v>0</x:v>
      </x:c>
      <x:c r="R53" s="33" t="n">
        <x:v>11000</x:v>
      </x:c>
      <x:c r="S53" s="35" t="n">
        <x:v>0</x:v>
      </x:c>
      <x:c r="T53" s="26" t="str">
        <x:v>estimada</x:v>
      </x:c>
      <x:c r="U53" s="26" t="str">
        <x:v>acoes_isencao_mensal_2026</x:v>
      </x:c>
      <x:c r="V53" s="34"/>
      <x:c r="W53" s="34"/>
      <x:c r="X53" s="36"/>
      <x:c r="Y53" s="33" t="str">
        <x:f>IF(V53="","",V53-Q53)</x:f>
      </x:c>
      <x:c r="Z53" s="33" t="str">
        <x:f>IF(W53="","",W53-R53)</x:f>
      </x:c>
      <x:c r="AA53" s="35" t="str">
        <x:f>IF(X53="","",X53-S53)</x:f>
      </x:c>
      <x:c r="AB53" s="37" t="n">
        <x:v>0.01</x:v>
      </x:c>
      <x:c r="AC53" s="35" t="n">
        <x:v>1e-9</x:v>
      </x:c>
      <x:c r="AD53" s="26" t="str">
        <x:f>IF(OR(V53="",W53="",X53=""),"Pendente",IF(AND(ABS(Y53)&lt;=AB53,ABS(Z53)&lt;=AB53,ABS(AA53)&lt;=AC53),"Confere","Diverge"))</x:f>
        <x:v>Pendente</x:v>
      </x:c>
      <x:c r="AE53" s="26" t="str">
        <x:v>receita_isencoes</x:v>
      </x:c>
      <x:c r="AF53" s="32" t="str">
        <x:v>https://www.gov.br/receitafederal/pt-br/assuntos/meu-imposto-de-renda/pagamento/renda-variavel/bolsa-de-valores-1/isencoes</x:v>
      </x:c>
      <x:c r="AG53" s="31"/>
      <x:c r="AH53" s="31"/>
      <x:c r="AI53" s="39"/>
      <x:c r="AJ53" s="31"/>
    </x:row>
    <x:row r="54">
      <x:c r="A54" s="26" t="str">
        <x:v>acao_comum_vendas_acima_20000</x:v>
      </x:c>
      <x:c r="B54" s="26" t="str">
        <x:v>renda_variavel</x:v>
      </x:c>
      <x:c r="C54" s="30" t="str">
        <x:v>conformidade_fonte_oficial</x:v>
      </x:c>
      <x:c r="D54" s="30" t="str">
        <x:v>acao</x:v>
      </x:c>
      <x:c r="E54" s="31" t="str">
        <x:v>Pendente</x:v>
      </x:c>
      <x:c r="F54" s="33" t="n">
        <x:v>10000</x:v>
      </x:c>
      <x:c r="G54" s="33" t="n">
        <x:v>11000</x:v>
      </x:c>
      <x:c r="H54" s="33" t="n">
        <x:f>MAX(0,G54-F54)</x:f>
        <x:v>1000</x:v>
      </x:c>
      <x:c r="I54" s="38" t="n">
        <x:v>46023.5</x:v>
      </x:c>
      <x:c r="J54" s="38" t="n">
        <x:v>46204.5</x:v>
      </x:c>
      <x:c r="K54" s="40" t="n">
        <x:f>J54-I54</x:f>
        <x:v>181</x:v>
      </x:c>
      <x:c r="L54" s="30" t="str"/>
      <x:c r="M54" s="33" t="n">
        <x:v>20000.01</x:v>
      </x:c>
      <x:c r="N54" s="33"/>
      <x:c r="O54" s="28" t="b">
        <x:v>1</x:v>
      </x:c>
      <x:c r="P54" s="28" t="b">
        <x:v>0</x:v>
      </x:c>
      <x:c r="Q54" s="33" t="n">
        <x:v>150</x:v>
      </x:c>
      <x:c r="R54" s="33" t="n">
        <x:v>10850</x:v>
      </x:c>
      <x:c r="S54" s="35" t="n">
        <x:v>0.15</x:v>
      </x:c>
      <x:c r="T54" s="26" t="str">
        <x:v>estimada</x:v>
      </x:c>
      <x:c r="U54" s="26" t="str">
        <x:v>acao_comum_2026</x:v>
      </x:c>
      <x:c r="V54" s="34"/>
      <x:c r="W54" s="34"/>
      <x:c r="X54" s="36"/>
      <x:c r="Y54" s="33" t="str">
        <x:f>IF(V54="","",V54-Q54)</x:f>
      </x:c>
      <x:c r="Z54" s="33" t="str">
        <x:f>IF(W54="","",W54-R54)</x:f>
      </x:c>
      <x:c r="AA54" s="35" t="str">
        <x:f>IF(X54="","",X54-S54)</x:f>
      </x:c>
      <x:c r="AB54" s="37" t="n">
        <x:v>0.01</x:v>
      </x:c>
      <x:c r="AC54" s="35" t="n">
        <x:v>1e-9</x:v>
      </x:c>
      <x:c r="AD54" s="26" t="str">
        <x:f>IF(OR(V54="",W54="",X54=""),"Pendente",IF(AND(ABS(Y54)&lt;=AB54,ABS(Z54)&lt;=AB54,ABS(AA54)&lt;=AC54),"Confere","Diverge"))</x:f>
        <x:v>Pendente</x:v>
      </x:c>
      <x:c r="AE54" s="26" t="str">
        <x:v>receita_bolsa</x:v>
      </x:c>
      <x:c r="AF54" s="32" t="str">
        <x:v>https://www.gov.br/receitafederal/pt-br/assuntos/meu-imposto-de-renda/pagamento/renda-variavel/bolsa-de-valores-1</x:v>
      </x:c>
      <x:c r="AG54" s="31"/>
      <x:c r="AH54" s="31"/>
      <x:c r="AI54" s="39"/>
      <x:c r="AJ54" s="31"/>
    </x:row>
    <x:row r="55">
      <x:c r="A55" s="26" t="str">
        <x:v>acao_comum_compensa_prejuizo</x:v>
      </x:c>
      <x:c r="B55" s="26" t="str">
        <x:v>renda_variavel</x:v>
      </x:c>
      <x:c r="C55" s="30" t="str">
        <x:v>conformidade_fonte_oficial_com_entrada_usuario</x:v>
      </x:c>
      <x:c r="D55" s="30" t="str">
        <x:v>acao</x:v>
      </x:c>
      <x:c r="E55" s="31" t="str">
        <x:v>Pendente</x:v>
      </x:c>
      <x:c r="F55" s="33" t="n">
        <x:v>10000</x:v>
      </x:c>
      <x:c r="G55" s="33" t="n">
        <x:v>11000</x:v>
      </x:c>
      <x:c r="H55" s="33" t="n">
        <x:f>MAX(0,G55-F55)</x:f>
        <x:v>1000</x:v>
      </x:c>
      <x:c r="I55" s="38" t="n">
        <x:v>46023.5</x:v>
      </x:c>
      <x:c r="J55" s="38" t="n">
        <x:v>46204.5</x:v>
      </x:c>
      <x:c r="K55" s="40" t="n">
        <x:f>J55-I55</x:f>
        <x:v>181</x:v>
      </x:c>
      <x:c r="L55" s="30" t="str">
        <x:v>metadados={"prejuizo_compensavel":400}</x:v>
      </x:c>
      <x:c r="M55" s="33" t="n">
        <x:v>25000</x:v>
      </x:c>
      <x:c r="N55" s="33"/>
      <x:c r="O55" s="28" t="b">
        <x:v>1</x:v>
      </x:c>
      <x:c r="P55" s="28" t="b">
        <x:v>0</x:v>
      </x:c>
      <x:c r="Q55" s="33" t="n">
        <x:v>90</x:v>
      </x:c>
      <x:c r="R55" s="33" t="n">
        <x:v>10910</x:v>
      </x:c>
      <x:c r="S55" s="35" t="n">
        <x:v>0.09</x:v>
      </x:c>
      <x:c r="T55" s="26" t="str">
        <x:v>estimada</x:v>
      </x:c>
      <x:c r="U55" s="26" t="str">
        <x:v>acao_comum_2026</x:v>
      </x:c>
      <x:c r="V55" s="34"/>
      <x:c r="W55" s="34"/>
      <x:c r="X55" s="36"/>
      <x:c r="Y55" s="33" t="str">
        <x:f>IF(V55="","",V55-Q55)</x:f>
      </x:c>
      <x:c r="Z55" s="33" t="str">
        <x:f>IF(W55="","",W55-R55)</x:f>
      </x:c>
      <x:c r="AA55" s="35" t="str">
        <x:f>IF(X55="","",X55-S55)</x:f>
      </x:c>
      <x:c r="AB55" s="37" t="n">
        <x:v>0.01</x:v>
      </x:c>
      <x:c r="AC55" s="35" t="n">
        <x:v>1e-9</x:v>
      </x:c>
      <x:c r="AD55" s="26" t="str">
        <x:f>IF(OR(V55="",W55="",X55=""),"Pendente",IF(AND(ABS(Y55)&lt;=AB55,ABS(Z55)&lt;=AB55,ABS(AA55)&lt;=AC55),"Confere","Diverge"))</x:f>
        <x:v>Pendente</x:v>
      </x:c>
      <x:c r="AE55" s="26" t="str">
        <x:v>receita_bolsa, receita_revar</x:v>
      </x:c>
      <x:c r="AF55" s="32" t="str">
        <x:v>https://www.gov.br/receitafederal/pt-br/assuntos/meu-imposto-de-renda/pagamento/renda-variavel/bolsa-de-valores-1
https://www.gov.br/pt-br/servicos/apurar-imposto-sobre-renda-variavel</x:v>
      </x:c>
      <x:c r="AG55" s="31"/>
      <x:c r="AH55" s="31"/>
      <x:c r="AI55" s="39"/>
      <x:c r="AJ55" s="31"/>
    </x:row>
    <x:row r="56">
      <x:c r="A56" s="26" t="str">
        <x:v>acao_comum_compensa_irrf</x:v>
      </x:c>
      <x:c r="B56" s="26" t="str">
        <x:v>renda_variavel</x:v>
      </x:c>
      <x:c r="C56" s="30" t="str">
        <x:v>conformidade_fonte_oficial_com_entrada_usuario</x:v>
      </x:c>
      <x:c r="D56" s="30" t="str">
        <x:v>acao</x:v>
      </x:c>
      <x:c r="E56" s="31" t="str">
        <x:v>Pendente</x:v>
      </x:c>
      <x:c r="F56" s="33" t="n">
        <x:v>10000</x:v>
      </x:c>
      <x:c r="G56" s="33" t="n">
        <x:v>11000</x:v>
      </x:c>
      <x:c r="H56" s="33" t="n">
        <x:f>MAX(0,G56-F56)</x:f>
        <x:v>1000</x:v>
      </x:c>
      <x:c r="I56" s="38" t="n">
        <x:v>46023.5</x:v>
      </x:c>
      <x:c r="J56" s="38" t="n">
        <x:v>46204.5</x:v>
      </x:c>
      <x:c r="K56" s="40" t="n">
        <x:f>J56-I56</x:f>
        <x:v>181</x:v>
      </x:c>
      <x:c r="L56" s="30" t="str">
        <x:v>metadados={"irrf":20}</x:v>
      </x:c>
      <x:c r="M56" s="33" t="n">
        <x:v>25000</x:v>
      </x:c>
      <x:c r="N56" s="33"/>
      <x:c r="O56" s="28" t="b">
        <x:v>1</x:v>
      </x:c>
      <x:c r="P56" s="28" t="b">
        <x:v>0</x:v>
      </x:c>
      <x:c r="Q56" s="33" t="n">
        <x:v>130</x:v>
      </x:c>
      <x:c r="R56" s="33" t="n">
        <x:v>10870</x:v>
      </x:c>
      <x:c r="S56" s="35" t="n">
        <x:v>0.13</x:v>
      </x:c>
      <x:c r="T56" s="26" t="str">
        <x:v>estimada</x:v>
      </x:c>
      <x:c r="U56" s="26" t="str">
        <x:v>acao_comum_2026</x:v>
      </x:c>
      <x:c r="V56" s="34"/>
      <x:c r="W56" s="34"/>
      <x:c r="X56" s="36"/>
      <x:c r="Y56" s="33" t="str">
        <x:f>IF(V56="","",V56-Q56)</x:f>
      </x:c>
      <x:c r="Z56" s="33" t="str">
        <x:f>IF(W56="","",W56-R56)</x:f>
      </x:c>
      <x:c r="AA56" s="35" t="str">
        <x:f>IF(X56="","",X56-S56)</x:f>
      </x:c>
      <x:c r="AB56" s="37" t="n">
        <x:v>0.01</x:v>
      </x:c>
      <x:c r="AC56" s="35" t="n">
        <x:v>1e-9</x:v>
      </x:c>
      <x:c r="AD56" s="26" t="str">
        <x:f>IF(OR(V56="",W56="",X56=""),"Pendente",IF(AND(ABS(Y56)&lt;=AB56,ABS(Z56)&lt;=AB56,ABS(AA56)&lt;=AC56),"Confere","Diverge"))</x:f>
        <x:v>Pendente</x:v>
      </x:c>
      <x:c r="AE56" s="26" t="str">
        <x:v>receita_bolsa, receita_revar</x:v>
      </x:c>
      <x:c r="AF56" s="32" t="str">
        <x:v>https://www.gov.br/receitafederal/pt-br/assuntos/meu-imposto-de-renda/pagamento/renda-variavel/bolsa-de-valores-1
https://www.gov.br/pt-br/servicos/apurar-imposto-sobre-renda-variavel</x:v>
      </x:c>
      <x:c r="AG56" s="31"/>
      <x:c r="AH56" s="31"/>
      <x:c r="AI56" s="39"/>
      <x:c r="AJ56" s="31"/>
    </x:row>
    <x:row r="57">
      <x:c r="A57" s="26" t="str">
        <x:v>acao_day_trade_20_porcento</x:v>
      </x:c>
      <x:c r="B57" s="26" t="str">
        <x:v>renda_variavel</x:v>
      </x:c>
      <x:c r="C57" s="30" t="str">
        <x:v>conformidade_fonte_oficial</x:v>
      </x:c>
      <x:c r="D57" s="30" t="str">
        <x:v>acao</x:v>
      </x:c>
      <x:c r="E57" s="31" t="str">
        <x:v>Pendente</x:v>
      </x:c>
      <x:c r="F57" s="33" t="n">
        <x:v>10000</x:v>
      </x:c>
      <x:c r="G57" s="33" t="n">
        <x:v>11000</x:v>
      </x:c>
      <x:c r="H57" s="33" t="n">
        <x:f>MAX(0,G57-F57)</x:f>
        <x:v>1000</x:v>
      </x:c>
      <x:c r="I57" s="38" t="n">
        <x:v>46204.5</x:v>
      </x:c>
      <x:c r="J57" s="38" t="n">
        <x:v>46204.5</x:v>
      </x:c>
      <x:c r="K57" s="40" t="n">
        <x:f>J57-I57</x:f>
        <x:v>0</x:v>
      </x:c>
      <x:c r="L57" s="30" t="str"/>
      <x:c r="M57" s="33" t="n">
        <x:v>10000</x:v>
      </x:c>
      <x:c r="N57" s="33"/>
      <x:c r="O57" s="28" t="b">
        <x:v>1</x:v>
      </x:c>
      <x:c r="P57" s="28" t="b">
        <x:v>1</x:v>
      </x:c>
      <x:c r="Q57" s="33" t="n">
        <x:v>200</x:v>
      </x:c>
      <x:c r="R57" s="33" t="n">
        <x:v>10800</x:v>
      </x:c>
      <x:c r="S57" s="35" t="n">
        <x:v>0.2</x:v>
      </x:c>
      <x:c r="T57" s="26" t="str">
        <x:v>estimada</x:v>
      </x:c>
      <x:c r="U57" s="26" t="str">
        <x:v>acao_daytrade_2026</x:v>
      </x:c>
      <x:c r="V57" s="34"/>
      <x:c r="W57" s="34"/>
      <x:c r="X57" s="36"/>
      <x:c r="Y57" s="33" t="str">
        <x:f>IF(V57="","",V57-Q57)</x:f>
      </x:c>
      <x:c r="Z57" s="33" t="str">
        <x:f>IF(W57="","",W57-R57)</x:f>
      </x:c>
      <x:c r="AA57" s="35" t="str">
        <x:f>IF(X57="","",X57-S57)</x:f>
      </x:c>
      <x:c r="AB57" s="37" t="n">
        <x:v>0.01</x:v>
      </x:c>
      <x:c r="AC57" s="35" t="n">
        <x:v>1e-9</x:v>
      </x:c>
      <x:c r="AD57" s="26" t="str">
        <x:f>IF(OR(V57="",W57="",X57=""),"Pendente",IF(AND(ABS(Y57)&lt;=AB57,ABS(Z57)&lt;=AB57,ABS(AA57)&lt;=AC57),"Confere","Diverge"))</x:f>
        <x:v>Pendente</x:v>
      </x:c>
      <x:c r="AE57" s="26" t="str">
        <x:v>receita_bolsa</x:v>
      </x:c>
      <x:c r="AF57" s="32" t="str">
        <x:v>https://www.gov.br/receitafederal/pt-br/assuntos/meu-imposto-de-renda/pagamento/renda-variavel/bolsa-de-valores-1</x:v>
      </x:c>
      <x:c r="AG57" s="31"/>
      <x:c r="AH57" s="31"/>
      <x:c r="AI57" s="39"/>
      <x:c r="AJ57" s="31"/>
    </x:row>
    <x:row r="58">
      <x:c r="A58" s="26" t="str">
        <x:v>fii_venda_com_ganho</x:v>
      </x:c>
      <x:c r="B58" s="26" t="str">
        <x:v>renda_variavel</x:v>
      </x:c>
      <x:c r="C58" s="30" t="str">
        <x:v>conformidade_fonte_oficial</x:v>
      </x:c>
      <x:c r="D58" s="30" t="str">
        <x:v>fii</x:v>
      </x:c>
      <x:c r="E58" s="31" t="str">
        <x:v>Pendente</x:v>
      </x:c>
      <x:c r="F58" s="33" t="n">
        <x:v>10000</x:v>
      </x:c>
      <x:c r="G58" s="33" t="n">
        <x:v>11000</x:v>
      </x:c>
      <x:c r="H58" s="33" t="n">
        <x:f>MAX(0,G58-F58)</x:f>
        <x:v>1000</x:v>
      </x:c>
      <x:c r="I58" s="38" t="n">
        <x:v>46023.5</x:v>
      </x:c>
      <x:c r="J58" s="38" t="n">
        <x:v>46204.5</x:v>
      </x:c>
      <x:c r="K58" s="40" t="n">
        <x:f>J58-I58</x:f>
        <x:v>181</x:v>
      </x:c>
      <x:c r="L58" s="30" t="str"/>
      <x:c r="M58" s="33"/>
      <x:c r="N58" s="33"/>
      <x:c r="O58" s="28" t="b">
        <x:v>1</x:v>
      </x:c>
      <x:c r="P58" s="28" t="b">
        <x:v>0</x:v>
      </x:c>
      <x:c r="Q58" s="33" t="n">
        <x:v>200</x:v>
      </x:c>
      <x:c r="R58" s="33" t="n">
        <x:v>10800</x:v>
      </x:c>
      <x:c r="S58" s="35" t="n">
        <x:v>0.2</x:v>
      </x:c>
      <x:c r="T58" s="26" t="str">
        <x:v>estimada</x:v>
      </x:c>
      <x:c r="U58" s="26" t="str">
        <x:v>fii_comum_2026</x:v>
      </x:c>
      <x:c r="V58" s="34"/>
      <x:c r="W58" s="34"/>
      <x:c r="X58" s="36"/>
      <x:c r="Y58" s="33" t="str">
        <x:f>IF(V58="","",V58-Q58)</x:f>
      </x:c>
      <x:c r="Z58" s="33" t="str">
        <x:f>IF(W58="","",W58-R58)</x:f>
      </x:c>
      <x:c r="AA58" s="35" t="str">
        <x:f>IF(X58="","",X58-S58)</x:f>
      </x:c>
      <x:c r="AB58" s="37" t="n">
        <x:v>0.01</x:v>
      </x:c>
      <x:c r="AC58" s="35" t="n">
        <x:v>1e-9</x:v>
      </x:c>
      <x:c r="AD58" s="26" t="str">
        <x:f>IF(OR(V58="",W58="",X58=""),"Pendente",IF(AND(ABS(Y58)&lt;=AB58,ABS(Z58)&lt;=AB58,ABS(AA58)&lt;=AC58),"Confere","Diverge"))</x:f>
        <x:v>Pendente</x:v>
      </x:c>
      <x:c r="AE58" s="26" t="str">
        <x:v>receita_bolsa</x:v>
      </x:c>
      <x:c r="AF58" s="32" t="str">
        <x:v>https://www.gov.br/receitafederal/pt-br/assuntos/meu-imposto-de-renda/pagamento/renda-variavel/bolsa-de-valores-1</x:v>
      </x:c>
      <x:c r="AG58" s="31"/>
      <x:c r="AH58" s="31"/>
      <x:c r="AI58" s="39"/>
      <x:c r="AJ58" s="31"/>
    </x:row>
    <x:row r="59">
      <x:c r="A59" s="26" t="str">
        <x:v>etf_comum_sem_isencao_mensal</x:v>
      </x:c>
      <x:c r="B59" s="26" t="str">
        <x:v>renda_variavel</x:v>
      </x:c>
      <x:c r="C59" s="30" t="str">
        <x:v>regressao_implementacao_pendente_classificacao_etf</x:v>
      </x:c>
      <x:c r="D59" s="30" t="str">
        <x:v>etf</x:v>
      </x:c>
      <x:c r="E59" s="31" t="str">
        <x:v>Pendente</x:v>
      </x:c>
      <x:c r="F59" s="33" t="n">
        <x:v>10000</x:v>
      </x:c>
      <x:c r="G59" s="33" t="n">
        <x:v>11000</x:v>
      </x:c>
      <x:c r="H59" s="33" t="n">
        <x:f>MAX(0,G59-F59)</x:f>
        <x:v>1000</x:v>
      </x:c>
      <x:c r="I59" s="38" t="n">
        <x:v>46023.5</x:v>
      </x:c>
      <x:c r="J59" s="38" t="n">
        <x:v>46204.5</x:v>
      </x:c>
      <x:c r="K59" s="40" t="n">
        <x:f>J59-I59</x:f>
        <x:v>181</x:v>
      </x:c>
      <x:c r="L59" s="30" t="str"/>
      <x:c r="M59" s="33" t="n">
        <x:v>10000</x:v>
      </x:c>
      <x:c r="N59" s="33"/>
      <x:c r="O59" s="28" t="b">
        <x:v>1</x:v>
      </x:c>
      <x:c r="P59" s="28" t="b">
        <x:v>0</x:v>
      </x:c>
      <x:c r="Q59" s="33" t="n">
        <x:v>150</x:v>
      </x:c>
      <x:c r="R59" s="33" t="n">
        <x:v>10850</x:v>
      </x:c>
      <x:c r="S59" s="35" t="n">
        <x:v>0.15</x:v>
      </x:c>
      <x:c r="T59" s="26" t="str">
        <x:v>estimada</x:v>
      </x:c>
      <x:c r="U59" s="26" t="str">
        <x:v>etf_comum_2026</x:v>
      </x:c>
      <x:c r="V59" s="34"/>
      <x:c r="W59" s="34"/>
      <x:c r="X59" s="36"/>
      <x:c r="Y59" s="33" t="str">
        <x:f>IF(V59="","",V59-Q59)</x:f>
      </x:c>
      <x:c r="Z59" s="33" t="str">
        <x:f>IF(W59="","",W59-R59)</x:f>
      </x:c>
      <x:c r="AA59" s="35" t="str">
        <x:f>IF(X59="","",X59-S59)</x:f>
      </x:c>
      <x:c r="AB59" s="37" t="n">
        <x:v>0.01</x:v>
      </x:c>
      <x:c r="AC59" s="35" t="n">
        <x:v>1e-9</x:v>
      </x:c>
      <x:c r="AD59" s="26" t="str">
        <x:f>IF(OR(V59="",W59="",X59=""),"Pendente",IF(AND(ABS(Y59)&lt;=AB59,ABS(Z59)&lt;=AB59,ABS(AA59)&lt;=AC59),"Confere","Diverge"))</x:f>
        <x:v>Pendente</x:v>
      </x:c>
      <x:c r="AE59" s="26" t="str">
        <x:v>receita_isencoes</x:v>
      </x:c>
      <x:c r="AF59" s="32" t="str">
        <x:v>https://www.gov.br/receitafederal/pt-br/assuntos/meu-imposto-de-renda/pagamento/renda-variavel/bolsa-de-valores-1/isencoes</x:v>
      </x:c>
      <x:c r="AG59" s="31"/>
      <x:c r="AH59" s="31"/>
      <x:c r="AI59" s="39"/>
      <x:c r="AJ59" s="31"/>
    </x:row>
    <x:row r="60">
      <x:c r="A60" s="26" t="str">
        <x:v>acao_sem_ganho</x:v>
      </x:c>
      <x:c r="B60" s="26" t="str">
        <x:v>renda_variavel</x:v>
      </x:c>
      <x:c r="C60" s="30" t="str">
        <x:v>conformidade_fonte_oficial</x:v>
      </x:c>
      <x:c r="D60" s="30" t="str">
        <x:v>acao</x:v>
      </x:c>
      <x:c r="E60" s="31" t="str">
        <x:v>Pendente</x:v>
      </x:c>
      <x:c r="F60" s="33" t="n">
        <x:v>11000</x:v>
      </x:c>
      <x:c r="G60" s="33" t="n">
        <x:v>10000</x:v>
      </x:c>
      <x:c r="H60" s="33" t="n">
        <x:f>MAX(0,G60-F60)</x:f>
        <x:v>0</x:v>
      </x:c>
      <x:c r="I60" s="38" t="n">
        <x:v>46023.5</x:v>
      </x:c>
      <x:c r="J60" s="38" t="n">
        <x:v>46204.5</x:v>
      </x:c>
      <x:c r="K60" s="40" t="n">
        <x:f>J60-I60</x:f>
        <x:v>181</x:v>
      </x:c>
      <x:c r="L60" s="30" t="str"/>
      <x:c r="M60" s="33" t="n">
        <x:v>25000</x:v>
      </x:c>
      <x:c r="N60" s="33"/>
      <x:c r="O60" s="28" t="b">
        <x:v>1</x:v>
      </x:c>
      <x:c r="P60" s="28" t="b">
        <x:v>0</x:v>
      </x:c>
      <x:c r="Q60" s="33" t="n">
        <x:v>0</x:v>
      </x:c>
      <x:c r="R60" s="33" t="n">
        <x:v>10000</x:v>
      </x:c>
      <x:c r="S60" s="35" t="n">
        <x:v>0</x:v>
      </x:c>
      <x:c r="T60" s="26" t="str">
        <x:v>estimada</x:v>
      </x:c>
      <x:c r="U60" s="26" t="str">
        <x:v>acao_comum_2026</x:v>
      </x:c>
      <x:c r="V60" s="34"/>
      <x:c r="W60" s="34"/>
      <x:c r="X60" s="36"/>
      <x:c r="Y60" s="33" t="str">
        <x:f>IF(V60="","",V60-Q60)</x:f>
      </x:c>
      <x:c r="Z60" s="33" t="str">
        <x:f>IF(W60="","",W60-R60)</x:f>
      </x:c>
      <x:c r="AA60" s="35" t="str">
        <x:f>IF(X60="","",X60-S60)</x:f>
      </x:c>
      <x:c r="AB60" s="37" t="n">
        <x:v>0.01</x:v>
      </x:c>
      <x:c r="AC60" s="35" t="n">
        <x:v>1e-9</x:v>
      </x:c>
      <x:c r="AD60" s="26" t="str">
        <x:f>IF(OR(V60="",W60="",X60=""),"Pendente",IF(AND(ABS(Y60)&lt;=AB60,ABS(Z60)&lt;=AB60,ABS(AA60)&lt;=AC60),"Confere","Diverge"))</x:f>
        <x:v>Pendente</x:v>
      </x:c>
      <x:c r="AE60" s="26" t="str">
        <x:v>receita_bolsa</x:v>
      </x:c>
      <x:c r="AF60" s="32" t="str">
        <x:v>https://www.gov.br/receitafederal/pt-br/assuntos/meu-imposto-de-renda/pagamento/renda-variavel/bolsa-de-valores-1</x:v>
      </x:c>
      <x:c r="AG60" s="31"/>
      <x:c r="AH60" s="31"/>
      <x:c r="AI60" s="39"/>
      <x:c r="AJ60" s="31"/>
    </x:row>
    <x:row r="61">
      <x:c r="A61" s="26" t="str">
        <x:v>acao_sem_valor_vendas_nao_aplica_isencao</x:v>
      </x:c>
      <x:c r="B61" s="26" t="str">
        <x:v>renda_variavel</x:v>
      </x:c>
      <x:c r="C61" s="30" t="str">
        <x:v>validacao_conservadora_por_dado_ausente</x:v>
      </x:c>
      <x:c r="D61" s="30" t="str">
        <x:v>acao</x:v>
      </x:c>
      <x:c r="E61" s="31" t="str">
        <x:v>Pendente</x:v>
      </x:c>
      <x:c r="F61" s="33" t="n">
        <x:v>10000</x:v>
      </x:c>
      <x:c r="G61" s="33" t="n">
        <x:v>11000</x:v>
      </x:c>
      <x:c r="H61" s="33" t="n">
        <x:f>MAX(0,G61-F61)</x:f>
        <x:v>1000</x:v>
      </x:c>
      <x:c r="I61" s="38" t="n">
        <x:v>46023.5</x:v>
      </x:c>
      <x:c r="J61" s="38" t="n">
        <x:v>46204.5</x:v>
      </x:c>
      <x:c r="K61" s="40" t="n">
        <x:f>J61-I61</x:f>
        <x:v>181</x:v>
      </x:c>
      <x:c r="L61" s="30" t="str"/>
      <x:c r="M61" s="33"/>
      <x:c r="N61" s="33"/>
      <x:c r="O61" s="28" t="b">
        <x:v>1</x:v>
      </x:c>
      <x:c r="P61" s="28" t="b">
        <x:v>0</x:v>
      </x:c>
      <x:c r="Q61" s="33" t="n">
        <x:v>150</x:v>
      </x:c>
      <x:c r="R61" s="33" t="n">
        <x:v>10850</x:v>
      </x:c>
      <x:c r="S61" s="35" t="n">
        <x:v>0.15</x:v>
      </x:c>
      <x:c r="T61" s="26" t="str">
        <x:v>estimada</x:v>
      </x:c>
      <x:c r="U61" s="26" t="str">
        <x:v>acao_comum_2026</x:v>
      </x:c>
      <x:c r="V61" s="34"/>
      <x:c r="W61" s="34"/>
      <x:c r="X61" s="36"/>
      <x:c r="Y61" s="33" t="str">
        <x:f>IF(V61="","",V61-Q61)</x:f>
      </x:c>
      <x:c r="Z61" s="33" t="str">
        <x:f>IF(W61="","",W61-R61)</x:f>
      </x:c>
      <x:c r="AA61" s="35" t="str">
        <x:f>IF(X61="","",X61-S61)</x:f>
      </x:c>
      <x:c r="AB61" s="37" t="n">
        <x:v>0.01</x:v>
      </x:c>
      <x:c r="AC61" s="35" t="n">
        <x:v>1e-9</x:v>
      </x:c>
      <x:c r="AD61" s="26" t="str">
        <x:f>IF(OR(V61="",W61="",X61=""),"Pendente",IF(AND(ABS(Y61)&lt;=AB61,ABS(Z61)&lt;=AB61,ABS(AA61)&lt;=AC61),"Confere","Diverge"))</x:f>
        <x:v>Pendente</x:v>
      </x:c>
      <x:c r="AE61" s="26" t="str">
        <x:v>receita_isencoes</x:v>
      </x:c>
      <x:c r="AF61" s="32" t="str">
        <x:v>https://www.gov.br/receitafederal/pt-br/assuntos/meu-imposto-de-renda/pagamento/renda-variavel/bolsa-de-valores-1/isencoes</x:v>
      </x:c>
      <x:c r="AG61" s="31"/>
      <x:c r="AH61" s="31"/>
      <x:c r="AI61" s="39"/>
      <x:c r="AJ61" s="31"/>
    </x:row>
    <x:row r="62">
      <x:c r="A62" s="26" t="str">
        <x:v>produto_bdr_nao_suportado</x:v>
      </x:c>
      <x:c r="B62" s="26" t="str">
        <x:v>renda_variavel</x:v>
      </x:c>
      <x:c r="C62" s="30" t="str">
        <x:v>validacao_de_indeterminacao</x:v>
      </x:c>
      <x:c r="D62" s="30" t="str">
        <x:v>bdr</x:v>
      </x:c>
      <x:c r="E62" s="31" t="str">
        <x:v>Pendente</x:v>
      </x:c>
      <x:c r="F62" s="33" t="n">
        <x:v>10000</x:v>
      </x:c>
      <x:c r="G62" s="33" t="n">
        <x:v>11000</x:v>
      </x:c>
      <x:c r="H62" s="33" t="n">
        <x:f>MAX(0,G62-F62)</x:f>
        <x:v>1000</x:v>
      </x:c>
      <x:c r="I62" s="38" t="n">
        <x:v>46023.5</x:v>
      </x:c>
      <x:c r="J62" s="38" t="n">
        <x:v>46204.5</x:v>
      </x:c>
      <x:c r="K62" s="40" t="n">
        <x:f>J62-I62</x:f>
        <x:v>181</x:v>
      </x:c>
      <x:c r="L62" s="30" t="str"/>
      <x:c r="M62" s="33"/>
      <x:c r="N62" s="33"/>
      <x:c r="O62" s="28" t="b">
        <x:v>1</x:v>
      </x:c>
      <x:c r="P62" s="28" t="b">
        <x:v>0</x:v>
      </x:c>
      <x:c r="Q62" s="33"/>
      <x:c r="R62" s="33"/>
      <x:c r="S62" s="35"/>
      <x:c r="T62" s="26" t="str">
        <x:v>indeterminada</x:v>
      </x:c>
      <x:c r="U62" s="26" t="str">
        <x:v>produto_nao_suportado</x:v>
      </x:c>
      <x:c r="V62" s="34"/>
      <x:c r="W62" s="34"/>
      <x:c r="X62" s="36"/>
      <x:c r="Y62" s="33" t="str">
        <x:f>IF(V62="","",V62-Q62)</x:f>
      </x:c>
      <x:c r="Z62" s="33" t="str">
        <x:f>IF(W62="","",W62-R62)</x:f>
      </x:c>
      <x:c r="AA62" s="35" t="str">
        <x:f>IF(X62="","",X62-S62)</x:f>
      </x:c>
      <x:c r="AB62" s="37" t="n">
        <x:v>0.01</x:v>
      </x:c>
      <x:c r="AC62" s="35" t="n">
        <x:v>1e-9</x:v>
      </x:c>
      <x:c r="AD62" s="26" t="str">
        <x:f>IF(OR(V62="",W62="",X62=""),"Pendente",IF(AND(ABS(Y62)&lt;=AB62,ABS(Z62)&lt;=AB62,ABS(AA62)&lt;=AC62),"Confere","Diverge"))</x:f>
        <x:v>Pendente</x:v>
      </x:c>
      <x:c r="AE62" s="26" t="str">
        <x:v>receita_bolsa</x:v>
      </x:c>
      <x:c r="AF62" s="32" t="str">
        <x:v>https://www.gov.br/receitafederal/pt-br/assuntos/meu-imposto-de-renda/pagamento/renda-variavel/bolsa-de-valores-1</x:v>
      </x:c>
      <x:c r="AG62" s="31"/>
      <x:c r="AH62" s="31"/>
      <x:c r="AI62" s="39"/>
      <x:c r="AJ62" s="31"/>
    </x:row>
  </x:sheetData>
  <x:conditionalFormatting sqref="AD2:AD62">
    <x:cfRule type="containsText" dxfId="0" priority="1" operator="containsText" text="Confere"/>
    <x:cfRule type="containsText" dxfId="1" priority="2" operator="containsText" text="Diverge"/>
  </x:conditionalFormatting>
  <x:conditionalFormatting sqref="E2:E62">
    <x:cfRule type="containsText" dxfId="2" priority="3" operator="containsText" text="Validado"/>
    <x:cfRule type="containsText" dxfId="3" priority="4" operator="containsText" text="Divergente"/>
  </x:conditionalFormatting>
  <x:dataValidations count="1">
    <x:dataValidation type="list" sqref="E2:E62">
      <x:formula1>"Pendente,Validado,Divergente,Revisão necessária"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c18ff2768b4ef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0" hidden="0" customWidth="1"/>
    <x:col min="3" max="3" width="65" hidden="0" customWidth="1"/>
    <x:col min="4" max="4" width="14" hidden="0" customWidth="1"/>
    <x:col min="5" max="5" width="30" hidden="0" customWidth="1"/>
    <x:col min="6" max="6" width="30" hidden="0" customWidth="1"/>
  </x:cols>
  <x:sheetData>
    <x:row r="1" ht="32" customHeight="1">
      <x:c r="A1" s="3" t="str">
        <x:v>Fontes declaradas nas fixtures</x:v>
      </x:c>
      <x:c r="B1" s="3" t="str">
        <x:v>Fontes declaradas nas fixtures</x:v>
      </x:c>
      <x:c r="C1" s="3" t="str">
        <x:v>Fontes declaradas nas fixtures</x:v>
      </x:c>
      <x:c r="D1" s="3" t="str">
        <x:v>Fontes declaradas nas fixtures</x:v>
      </x:c>
      <x:c r="E1" s="3" t="str">
        <x:v>Fontes declaradas nas fixtures</x:v>
      </x:c>
      <x:c r="F1" s="3" t="str">
        <x:v>Fontes declaradas nas fixtures</x:v>
      </x:c>
    </x:row>
    <x:row r="2" ht="32" customHeight="1">
      <x:c r="A2" s="3" t="str">
        <x:v>Fontes declaradas nas fixtures</x:v>
      </x:c>
      <x:c r="B2" s="3" t="str">
        <x:v>Fontes declaradas nas fixtures</x:v>
      </x:c>
      <x:c r="C2" s="3" t="str">
        <x:v>Fontes declaradas nas fixtures</x:v>
      </x:c>
      <x:c r="D2" s="3" t="str">
        <x:v>Fontes declaradas nas fixtures</x:v>
      </x:c>
      <x:c r="E2" s="3" t="str">
        <x:v>Fontes declaradas nas fixtures</x:v>
      </x:c>
      <x:c r="F2" s="3" t="str">
        <x:v>Fontes declaradas nas fixtures</x:v>
      </x:c>
    </x:row>
    <x:row r="4">
      <x:c r="A4" s="21" t="str">
        <x:v>Categoria</x:v>
      </x:c>
      <x:c r="B4" s="21" t="str">
        <x:v>Fonte ID</x:v>
      </x:c>
      <x:c r="C4" s="21" t="str">
        <x:v>URL</x:v>
      </x:c>
      <x:c r="D4" s="21" t="str">
        <x:v>Acessado em</x:v>
      </x:c>
      <x:c r="E4" s="21" t="str">
        <x:v>Uso</x:v>
      </x:c>
      <x:c r="F4" s="21" t="str">
        <x:v>Status documental</x:v>
      </x:c>
    </x:row>
    <x:row r="5">
      <x:c r="A5" s="14" t="str">
        <x:v>cripto</x:v>
      </x:c>
      <x:c r="B5" s="14" t="str">
        <x:v>receita_ganho_capital</x:v>
      </x:c>
      <x:c r="C5" s="42" t="str">
        <x:v>https://www.gov.br/receitafederal/pt-br/assuntos/meu-imposto-de-renda/pagamento/ganhos-de-capital</x:v>
      </x:c>
      <x:c r="D5" s="43" t="n">
        <x:v>46234.5</x:v>
      </x:c>
      <x:c r="E5" s="14" t="str">
        <x:v>Fonte declarada na fixture</x:v>
      </x:c>
      <x:c r="F5" s="14" t="str">
        <x:v>Pendente de revisão documental</x:v>
      </x:c>
    </x:row>
    <x:row r="6">
      <x:c r="A6" s="14" t="str">
        <x:v>cripto</x:v>
      </x:c>
      <x:c r="B6" s="14" t="str">
        <x:v>receita_criptoativos</x:v>
      </x:c>
      <x:c r="C6" s="42" t="str">
        <x:v>https://www.gov.br/receitafederal/pt-br/assuntos/orientacao-tributaria/declaracoes-e-demonstrativos/criptoativos</x:v>
      </x:c>
      <x:c r="D6" s="43" t="n">
        <x:v>46234.5</x:v>
      </x:c>
      <x:c r="E6" s="14" t="str">
        <x:v>Fonte declarada na fixture</x:v>
      </x:c>
      <x:c r="F6" s="14" t="str">
        <x:v>Pendente de revisão documental</x:v>
      </x:c>
    </x:row>
    <x:row r="7">
      <x:c r="A7" s="14" t="str">
        <x:v>cripto</x:v>
      </x:c>
      <x:c r="B7" s="14" t="str">
        <x:v>receita_decripto</x:v>
      </x:c>
      <x:c r="C7" s="42" t="str">
        <x:v>https://www.gov.br/pt-br/servicos/declarar-operacoes-com-criptoativos</x:v>
      </x:c>
      <x:c r="D7" s="43" t="n">
        <x:v>46234.5</x:v>
      </x:c>
      <x:c r="E7" s="14" t="str">
        <x:v>Fonte declarada na fixture</x:v>
      </x:c>
      <x:c r="F7" s="14" t="str">
        <x:v>Pendente de revisão documental</x:v>
      </x:c>
    </x:row>
    <x:row r="8">
      <x:c r="A8" s="14" t="str">
        <x:v>estruturados</x:v>
      </x:c>
      <x:c r="B8" s="14" t="str">
        <x:v>receita_tabelas_2026</x:v>
      </x:c>
      <x:c r="C8" s="42" t="str">
        <x:v>https://www.gov.br/receitafederal/pt-br/assuntos/meu-imposto-de-renda/tabelas/2026</x:v>
      </x:c>
      <x:c r="D8" s="43" t="n">
        <x:v>46234.5</x:v>
      </x:c>
      <x:c r="E8" s="14" t="str">
        <x:v>Fonte declarada na fixture</x:v>
      </x:c>
      <x:c r="F8" s="14" t="str">
        <x:v>Pendente de revisão documental</x:v>
      </x:c>
    </x:row>
    <x:row r="9">
      <x:c r="A9" s="14" t="str">
        <x:v>fundos</x:v>
      </x:c>
      <x:c r="B9" s="14" t="str">
        <x:v>receita_tabelas_2026</x:v>
      </x:c>
      <x:c r="C9" s="42" t="str">
        <x:v>https://www.gov.br/receitafederal/pt-br/assuntos/meu-imposto-de-renda/tabelas/2026</x:v>
      </x:c>
      <x:c r="D9" s="43" t="n">
        <x:v>46234.5</x:v>
      </x:c>
      <x:c r="E9" s="14" t="str">
        <x:v>Fonte declarada na fixture</x:v>
      </x:c>
      <x:c r="F9" s="14" t="str">
        <x:v>Pendente de revisão documental</x:v>
      </x:c>
    </x:row>
    <x:row r="10">
      <x:c r="A10" s="14" t="str">
        <x:v>fundos</x:v>
      </x:c>
      <x:c r="B10" s="14" t="str">
        <x:v>receita_fundos</x:v>
      </x:c>
      <x:c r="C10" s="42" t="str">
        <x:v>https://www.gov.br/receitafederal/pt-br/assuntos/meu-imposto-de-renda/pagamento/renda-variavel/fundos-de-investimento-no-brasil</x:v>
      </x:c>
      <x:c r="D10" s="43" t="n">
        <x:v>46234.5</x:v>
      </x:c>
      <x:c r="E10" s="14" t="str">
        <x:v>Fonte declarada na fixture</x:v>
      </x:c>
      <x:c r="F10" s="14" t="str">
        <x:v>Pendente de revisão documental</x:v>
      </x:c>
    </x:row>
    <x:row r="11">
      <x:c r="A11" s="14" t="str">
        <x:v>previdencia</x:v>
      </x:c>
      <x:c r="B11" s="14" t="str">
        <x:v>receita_pgbl_vgbl</x:v>
      </x:c>
      <x:c r="C11" s="42" t="str">
        <x:v>https://www.gov.br/receitafederal/pt-br/acesso-a-informacao/perguntas-frequentes/imposto-de-renda/dirpf/declaracao/pgvl-vgbl</x:v>
      </x:c>
      <x:c r="D11" s="43" t="n">
        <x:v>46234.5</x:v>
      </x:c>
      <x:c r="E11" s="14" t="str">
        <x:v>Fonte declarada na fixture</x:v>
      </x:c>
      <x:c r="F11" s="14" t="str">
        <x:v>Pendente de revisão documental</x:v>
      </x:c>
    </x:row>
    <x:row r="12">
      <x:c r="A12" s="14" t="str">
        <x:v>previdencia</x:v>
      </x:c>
      <x:c r="B12" s="14" t="str">
        <x:v>previdencia_faq</x:v>
      </x:c>
      <x:c r="C12" s="42" t="str">
        <x:v>https://www.gov.br/previdencia/pt-br/assuntos/previdencia-complementar/mais-informacoes/perguntas-frequentes-de-previdencia-complementar</x:v>
      </x:c>
      <x:c r="D12" s="43" t="n">
        <x:v>46234.5</x:v>
      </x:c>
      <x:c r="E12" s="14" t="str">
        <x:v>Fonte declarada na fixture</x:v>
      </x:c>
      <x:c r="F12" s="14" t="str">
        <x:v>Pendente de revisão documental</x:v>
      </x:c>
    </x:row>
    <x:row r="13">
      <x:c r="A13" s="14" t="str">
        <x:v>previdencia</x:v>
      </x:c>
      <x:c r="B13" s="14" t="str">
        <x:v>receita_tabelas_2026</x:v>
      </x:c>
      <x:c r="C13" s="42" t="str">
        <x:v>https://www.gov.br/receitafederal/pt-br/assuntos/meu-imposto-de-renda/tabelas/2026</x:v>
      </x:c>
      <x:c r="D13" s="43" t="n">
        <x:v>46234.5</x:v>
      </x:c>
      <x:c r="E13" s="14" t="str">
        <x:v>Fonte declarada na fixture</x:v>
      </x:c>
      <x:c r="F13" s="14" t="str">
        <x:v>Pendente de revisão documental</x:v>
      </x:c>
    </x:row>
    <x:row r="14">
      <x:c r="A14" s="14" t="str">
        <x:v>renda_fixa</x:v>
      </x:c>
      <x:c r="B14" s="14" t="str">
        <x:v>receita_tabelas_2026</x:v>
      </x:c>
      <x:c r="C14" s="42" t="str">
        <x:v>https://www.gov.br/receitafederal/pt-br/assuntos/meu-imposto-de-renda/tabelas/2026</x:v>
      </x:c>
      <x:c r="D14" s="43" t="n">
        <x:v>46234.5</x:v>
      </x:c>
      <x:c r="E14" s="14" t="str">
        <x:v>Fonte declarada na fixture</x:v>
      </x:c>
      <x:c r="F14" s="14" t="str">
        <x:v>Pendente de revisão documental</x:v>
      </x:c>
    </x:row>
    <x:row r="15">
      <x:c r="A15" s="14" t="str">
        <x:v>renda_variavel</x:v>
      </x:c>
      <x:c r="B15" s="14" t="str">
        <x:v>receita_bolsa</x:v>
      </x:c>
      <x:c r="C15" s="42" t="str">
        <x:v>https://www.gov.br/receitafederal/pt-br/assuntos/meu-imposto-de-renda/pagamento/renda-variavel/bolsa-de-valores-1</x:v>
      </x:c>
      <x:c r="D15" s="43" t="n">
        <x:v>46234.5</x:v>
      </x:c>
      <x:c r="E15" s="14" t="str">
        <x:v>Fonte declarada na fixture</x:v>
      </x:c>
      <x:c r="F15" s="14" t="str">
        <x:v>Pendente de revisão documental</x:v>
      </x:c>
    </x:row>
    <x:row r="16">
      <x:c r="A16" s="14" t="str">
        <x:v>renda_variavel</x:v>
      </x:c>
      <x:c r="B16" s="14" t="str">
        <x:v>receita_isencoes</x:v>
      </x:c>
      <x:c r="C16" s="42" t="str">
        <x:v>https://www.gov.br/receitafederal/pt-br/assuntos/meu-imposto-de-renda/pagamento/renda-variavel/bolsa-de-valores-1/isencoes</x:v>
      </x:c>
      <x:c r="D16" s="43" t="n">
        <x:v>46234.5</x:v>
      </x:c>
      <x:c r="E16" s="14" t="str">
        <x:v>Fonte declarada na fixture</x:v>
      </x:c>
      <x:c r="F16" s="14" t="str">
        <x:v>Pendente de revisão documental</x:v>
      </x:c>
    </x:row>
    <x:row r="17">
      <x:c r="A17" s="14" t="str">
        <x:v>renda_variavel</x:v>
      </x:c>
      <x:c r="B17" s="14" t="str">
        <x:v>receita_revar</x:v>
      </x:c>
      <x:c r="C17" s="42" t="str">
        <x:v>https://www.gov.br/pt-br/servicos/apurar-imposto-sobre-renda-variavel</x:v>
      </x:c>
      <x:c r="D17" s="43" t="n">
        <x:v>46234.5</x:v>
      </x:c>
      <x:c r="E17" s="14" t="str">
        <x:v>Fonte declarada na fixture</x:v>
      </x:c>
      <x:c r="F17" s="14" t="str">
        <x:v>Pendente de revisão documental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052efde22e01407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48" hidden="0" customWidth="1"/>
  </x:cols>
  <x:sheetData>
    <x:row r="1" ht="32" customHeight="1">
      <x:c r="A1" s="3" t="str">
        <x:v>Checks estruturais e de completude</x:v>
      </x:c>
      <x:c r="B1" s="3" t="str">
        <x:v>Checks estruturais e de completude</x:v>
      </x:c>
      <x:c r="C1" s="3" t="str">
        <x:v>Checks estruturais e de completude</x:v>
      </x:c>
      <x:c r="D1" s="3" t="str">
        <x:v>Checks estruturais e de completude</x:v>
      </x:c>
      <x:c r="E1" s="3" t="str">
        <x:v>Checks estruturais e de completude</x:v>
      </x:c>
      <x:c r="F1" s="3" t="str">
        <x:v>Checks estruturais e de completude</x:v>
      </x:c>
    </x:row>
    <x:row r="2">
      <x:c r="A2" s="15" t="str">
        <x:v>Status estrutural</x:v>
      </x:c>
      <x:c r="B2" s="44" t="str">
        <x:f>IF(COUNTIF(E4:E9,"FALHA")=0,"OK","FALHA")</x:f>
        <x:v>OK</x:v>
      </x:c>
    </x:row>
    <x:row r="3">
      <x:c r="A3" s="21" t="str">
        <x:v>Check</x:v>
      </x:c>
      <x:c r="B3" s="21" t="str">
        <x:v>Atual</x:v>
      </x:c>
      <x:c r="C3" s="21" t="str">
        <x:v>Esperado</x:v>
      </x:c>
      <x:c r="D3" s="21" t="str">
        <x:v>Diferença</x:v>
      </x:c>
      <x:c r="E3" s="21" t="str">
        <x:v>Status</x:v>
      </x:c>
      <x:c r="F3" s="21" t="str">
        <x:v>Ação em caso de falha</x:v>
      </x:c>
    </x:row>
    <x:row r="4">
      <x:c r="A4" s="14" t="str">
        <x:v>Quantidade de casos</x:v>
      </x:c>
      <x:c r="B4" s="14" t="n">
        <x:f>COUNTA('Matriz'!$A$2:$A$62)</x:f>
        <x:v>61</x:v>
      </x:c>
      <x:c r="C4" s="14" t="n">
        <x:v>61</x:v>
      </x:c>
      <x:c r="D4" s="14" t="n">
        <x:f>B4-C4</x:f>
        <x:v>0</x:v>
      </x:c>
      <x:c r="E4" s="14" t="str">
        <x:f>IF(D4=0,"OK","FALHA")</x:f>
        <x:v>OK</x:v>
      </x:c>
      <x:c r="F4" s="14" t="str">
        <x:v>Repor ou remover caso somente com justificativa.</x:v>
      </x:c>
    </x:row>
    <x:row r="5">
      <x:c r="A5" s="14" t="str">
        <x:v>Quantidade de categorias</x:v>
      </x:c>
      <x:c r="B5" s="14" t="n">
        <x:f>COUNTA('Resumo'!$D$6:$D$11)</x:f>
        <x:v>6</x:v>
      </x:c>
      <x:c r="C5" s="14" t="n">
        <x:v>6</x:v>
      </x:c>
      <x:c r="D5" s="14" t="n">
        <x:f>B5-C5</x:f>
        <x:v>0</x:v>
      </x:c>
      <x:c r="E5" s="14" t="str">
        <x:f>IF(D5=0,"OK","FALHA")</x:f>
        <x:v>OK</x:v>
      </x:c>
      <x:c r="F5" s="14" t="str">
        <x:v>Verificar se um arquivo de categoria está ausente.</x:v>
      </x:c>
    </x:row>
    <x:row r="6">
      <x:c r="A6" s="14" t="str">
        <x:v>Casos sem regra</x:v>
      </x:c>
      <x:c r="B6" s="14" t="n">
        <x:f>COUNTBLANK('Matriz'!$U$2:$U$62)</x:f>
        <x:v>0</x:v>
      </x:c>
      <x:c r="C6" s="14" t="n">
        <x:v>0</x:v>
      </x:c>
      <x:c r="D6" s="14" t="n">
        <x:f>B6-C6</x:f>
        <x:v>0</x:v>
      </x:c>
      <x:c r="E6" s="14" t="str">
        <x:f>IF(D6=0,"OK","FALHA")</x:f>
        <x:v>OK</x:v>
      </x:c>
      <x:c r="F6" s="14" t="str">
        <x:v>Preencher regra_id na fixture.</x:v>
      </x:c>
    </x:row>
    <x:row r="7">
      <x:c r="A7" s="14" t="str">
        <x:v>Casos sem fonte ID</x:v>
      </x:c>
      <x:c r="B7" s="14" t="n">
        <x:f>COUNTBLANK('Matriz'!$AE$2:$AE$62)</x:f>
        <x:v>0</x:v>
      </x:c>
      <x:c r="C7" s="14" t="n">
        <x:v>0</x:v>
      </x:c>
      <x:c r="D7" s="14" t="n">
        <x:f>B7-C7</x:f>
        <x:v>0</x:v>
      </x:c>
      <x:c r="E7" s="14" t="str">
        <x:f>IF(D7=0,"OK","FALHA")</x:f>
        <x:v>OK</x:v>
      </x:c>
      <x:c r="F7" s="14" t="str">
        <x:v>Vincular o caso a uma fonte declarada.</x:v>
      </x:c>
    </x:row>
    <x:row r="8">
      <x:c r="A8" s="14" t="str">
        <x:v>Fontes sem URL</x:v>
      </x:c>
      <x:c r="B8" s="14" t="n">
        <x:f>COUNTBLANK('Fontes'!$C$5:$C$17)</x:f>
        <x:v>0</x:v>
      </x:c>
      <x:c r="C8" s="14" t="n">
        <x:v>0</x:v>
      </x:c>
      <x:c r="D8" s="14" t="n">
        <x:f>B8-C8</x:f>
        <x:v>0</x:v>
      </x:c>
      <x:c r="E8" s="14" t="str">
        <x:f>IF(D8=0,"OK","FALHA")</x:f>
        <x:v>OK</x:v>
      </x:c>
      <x:c r="F8" s="14" t="str">
        <x:v>Completar a URL oficial na aba Fontes.</x:v>
      </x:c>
    </x:row>
    <x:row r="9">
      <x:c r="A9" s="14" t="str">
        <x:v>Status fora da lista permitida</x:v>
      </x:c>
      <x:c r="B9" s="14" t="n">
        <x:f>COUNTIF('Matriz'!$E$2:$E$62,"&lt;&gt;Pendente")-COUNTIF('Matriz'!$E$2:$E$62,"Validado")-COUNTIF('Matriz'!$E$2:$E$62,"Divergente")-COUNTIF('Matriz'!$E$2:$E$62,"Revisão necessária")</x:f>
        <x:v>0</x:v>
      </x:c>
      <x:c r="C9" s="14" t="n">
        <x:v>0</x:v>
      </x:c>
      <x:c r="D9" s="14" t="n">
        <x:f>B9-C9</x:f>
        <x:v>0</x:v>
      </x:c>
      <x:c r="E9" s="14" t="str">
        <x:f>IF(D9=0,"OK","FALHA")</x:f>
        <x:v>OK</x:v>
      </x:c>
      <x:c r="F9" s="14" t="str">
        <x:v>Usar apenas os valores permitidos no campo Status revisão.</x:v>
      </x:c>
    </x:row>
    <x:row r="10">
      <x:c r="A10" s="14"/>
      <x:c r="B10" s="14"/>
      <x:c r="C10" s="14"/>
      <x:c r="D10" s="14"/>
      <x:c r="E10" s="14"/>
      <x:c r="F10" s="14"/>
    </x:row>
    <x:row r="11">
      <x:c r="A11" s="45" t="str">
        <x:v>Status agregado</x:v>
      </x:c>
      <x:c r="B11" s="45"/>
      <x:c r="C11" s="45"/>
      <x:c r="D11" s="45"/>
      <x:c r="E11" s="45"/>
      <x:c r="F11" s="14"/>
    </x:row>
    <x:row r="12">
      <x:c r="A12" s="14" t="str">
        <x:v>Estrutura da matriz</x:v>
      </x:c>
      <x:c r="B12" s="14" t="str">
        <x:f>B2</x:f>
        <x:v>OK</x:v>
      </x:c>
      <x:c r="C12" s="14"/>
      <x:c r="D12" s="14"/>
      <x:c r="E12" s="14"/>
      <x:c r="F12" s="14"/>
    </x:row>
    <x:row r="13">
      <x:c r="A13" s="14" t="str">
        <x:v>Casos validados externamente</x:v>
      </x:c>
      <x:c r="B13" s="14" t="n">
        <x:f>COUNTIF('Matriz'!$E$2:$E$62,"Validado")</x:f>
        <x:v>0</x:v>
      </x:c>
      <x:c r="C13" s="14"/>
      <x:c r="D13" s="14"/>
      <x:c r="E13" s="14"/>
      <x:c r="F13" s="14"/>
    </x:row>
    <x:row r="14">
      <x:c r="A14" s="14" t="str">
        <x:v>Casos pendentes ou problemáticos</x:v>
      </x:c>
      <x:c r="B14" s="14" t="n">
        <x:f>61-B13</x:f>
        <x:v>61</x:v>
      </x:c>
      <x:c r="C14" s="14"/>
      <x:c r="D14" s="14"/>
      <x:c r="E14" s="14"/>
      <x:c r="F14" s="14"/>
    </x:row>
  </x:sheetData>
  <x:mergeCells>
    <x:mergeCell ref="A1:F1"/>
    <x:mergeCell ref="A11:E11"/>
  </x:mergeCells>
  <x:conditionalFormatting sqref="E4:E9">
    <x:cfRule type="containsText" dxfId="4" priority="1" operator="containsText" text="OK"/>
    <x:cfRule type="containsText" dxfId="5" priority="2" operator="containsText" text="FALHA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2" customHeight="1">
      <x:c r="A1" s="3" t="str">
        <x:v>Como usar a matriz de validação</x:v>
      </x:c>
      <x:c r="B1" s="3" t="str">
        <x:v>Como usar a matriz de validação</x:v>
      </x:c>
      <x:c r="C1" s="3" t="str">
        <x:v>Como usar a matriz de validação</x:v>
      </x:c>
      <x:c r="D1" s="3" t="str">
        <x:v>Como usar a matriz de validação</x:v>
      </x:c>
      <x:c r="E1" s="3" t="str">
        <x:v>Como usar a matriz de validação</x:v>
      </x:c>
      <x:c r="F1" s="3" t="str">
        <x:v>Como usar a matriz de validação</x:v>
      </x:c>
    </x:row>
    <x:row r="2" ht="32" customHeight="1">
      <x:c r="A2" s="3" t="str">
        <x:v>Como usar a matriz de validação</x:v>
      </x:c>
      <x:c r="B2" s="3" t="str">
        <x:v>Como usar a matriz de validação</x:v>
      </x:c>
      <x:c r="C2" s="3" t="str">
        <x:v>Como usar a matriz de validação</x:v>
      </x:c>
      <x:c r="D2" s="3" t="str">
        <x:v>Como usar a matriz de validação</x:v>
      </x:c>
      <x:c r="E2" s="3" t="str">
        <x:v>Como usar a matriz de validação</x:v>
      </x:c>
      <x:c r="F2" s="3" t="str">
        <x:v>Como usar a matriz de validação</x:v>
      </x:c>
    </x:row>
    <x:row r="4">
      <x:c r="A4" s="7" t="str">
        <x:v>Fluxo recomendado</x:v>
      </x:c>
      <x:c r="B4" s="7"/>
      <x:c r="C4" s="7"/>
      <x:c r="D4" s="7"/>
      <x:c r="E4" s="7"/>
      <x:c r="F4" s="7"/>
    </x:row>
    <x:row r="5" ht="28" customHeight="1">
      <x:c r="A5" s="14" t="str">
        <x:v>1. Escolha um caso na aba Matriz e confirme a fonte oficial e sua vigência.</x:v>
      </x:c>
      <x:c r="B5" s="14"/>
      <x:c r="C5" s="14"/>
      <x:c r="D5" s="14"/>
      <x:c r="E5" s="14"/>
      <x:c r="F5" s="14"/>
    </x:row>
    <x:row r="6" ht="28" customHeight="1">
      <x:c r="A6" s="14" t="str">
        <x:v>2. Refaça o cálculo fora do código do projeto e registre a memória em 'Evidência / memória de cálculo'.</x:v>
      </x:c>
      <x:c r="B6" s="14"/>
      <x:c r="C6" s="14"/>
      <x:c r="D6" s="14"/>
      <x:c r="E6" s="14"/>
      <x:c r="F6" s="14"/>
    </x:row>
    <x:row r="7" ht="28" customHeight="1">
      <x:c r="A7" s="14" t="str">
        <x:v>3. Preencha os três campos amarelos de resultado independente.</x:v>
      </x:c>
      <x:c r="B7" s="14"/>
      <x:c r="C7" s="14"/>
      <x:c r="D7" s="14"/>
      <x:c r="E7" s="14"/>
      <x:c r="F7" s="14"/>
    </x:row>
    <x:row r="8" ht="28" customHeight="1">
      <x:c r="A8" s="14" t="str">
        <x:v>4. Analise a comparação automática e explique qualquer divergência.</x:v>
      </x:c>
      <x:c r="B8" s="14"/>
      <x:c r="C8" s="14"/>
      <x:c r="D8" s="14"/>
      <x:c r="E8" s="14"/>
      <x:c r="F8" s="14"/>
    </x:row>
    <x:row r="9" ht="28" customHeight="1">
      <x:c r="A9" s="14" t="str">
        <x:v>5. Registre revisor e data; somente então altere o Status revisão.</x:v>
      </x:c>
      <x:c r="B9" s="14"/>
      <x:c r="C9" s="14"/>
      <x:c r="D9" s="14"/>
      <x:c r="E9" s="14"/>
      <x:c r="F9" s="14"/>
    </x:row>
    <x:row r="10" ht="28" customHeight="1">
      <x:c r="A10" s="14" t="str">
        <x:v>6. Corrija o motor apenas quando a evidência independente justificar a mudança.</x:v>
      </x:c>
      <x:c r="B10" s="14"/>
      <x:c r="C10" s="14"/>
      <x:c r="D10" s="14"/>
      <x:c r="E10" s="14"/>
      <x:c r="F10" s="14"/>
    </x:row>
    <x:row r="12">
      <x:c r="A12" s="21" t="str">
        <x:v>Cor</x:v>
      </x:c>
      <x:c r="B12" s="21" t="str">
        <x:v>Significado</x:v>
      </x:c>
    </x:row>
    <x:row r="13">
      <x:c r="A13" s="24" t="str">
        <x:v>Amarelo / texto azul</x:v>
      </x:c>
      <x:c r="B13" t="str">
        <x:v>Campo editável ou pendente de preenchimento</x:v>
      </x:c>
    </x:row>
    <x:row r="14">
      <x:c r="A14" s="46" t="str">
        <x:v>Verde</x:v>
      </x:c>
      <x:c r="B14" t="str">
        <x:v>Validação ou check concluído sem divergência</x:v>
      </x:c>
    </x:row>
    <x:row r="15">
      <x:c r="A15" s="47" t="str">
        <x:v>Vermelho</x:v>
      </x:c>
      <x:c r="B15" t="str">
        <x:v>Divergência, falha estrutural ou link externo</x:v>
      </x:c>
    </x:row>
    <x:row r="16">
      <x:c r="A16" s="48" t="str">
        <x:v>Azul escuro</x:v>
      </x:c>
      <x:c r="B16" t="str">
        <x:v>Cabeçalho e estrutura protegida do modelo</x:v>
      </x:c>
    </x:row>
    <x:row r="18">
      <x:c r="A18" s="7" t="str">
        <x:v>Limitações</x:v>
      </x:c>
      <x:c r="B18" s="7"/>
      <x:c r="C18" s="7"/>
      <x:c r="D18" s="7"/>
      <x:c r="E18" s="7"/>
      <x:c r="F18" s="7"/>
    </x:row>
    <x:row r="19" ht="25" customHeight="1">
      <x:c r="A19" s="14" t="str">
        <x:v>• A expectativa do motor não é uma prova independente da regra tributária.</x:v>
      </x:c>
      <x:c r="B19" s="14"/>
      <x:c r="C19" s="14"/>
      <x:c r="D19" s="14"/>
      <x:c r="E19" s="14"/>
      <x:c r="F19" s="14"/>
    </x:row>
    <x:row r="20" ht="25" customHeight="1">
      <x:c r="A20" s="14" t="str">
        <x:v>• Fontes online podem mudar; confirme vigência, produto, pessoa e operação concreta.</x:v>
      </x:c>
      <x:c r="B20" s="14"/>
      <x:c r="C20" s="14"/>
      <x:c r="D20" s="14"/>
      <x:c r="E20" s="14"/>
      <x:c r="F20" s="14"/>
    </x:row>
    <x:row r="21" ht="25" customHeight="1">
      <x:c r="A21" s="14" t="str">
        <x:v>• Casos com precisão 'estimada' ou 'indeterminada' exigem cautela adicional.</x:v>
      </x:c>
      <x:c r="B21" s="14"/>
      <x:c r="C21" s="14"/>
      <x:c r="D21" s="14"/>
      <x:c r="E21" s="14"/>
      <x:c r="F21" s="14"/>
    </x:row>
    <x:row r="22" ht="25" customHeight="1">
      <x:c r="A22" s="14" t="str">
        <x:v>• A planilha organiza evidências, mas não substitui parecer profissional.</x:v>
      </x:c>
      <x:c r="B22" s="14"/>
      <x:c r="C22" s="14"/>
      <x:c r="D22" s="14"/>
      <x:c r="E22" s="14"/>
      <x:c r="F22" s="14"/>
    </x:row>
  </x:sheetData>
  <x:mergeCells>
    <x:mergeCell ref="A1:F2"/>
    <x:mergeCell ref="A4:F4"/>
    <x:mergeCell ref="A5:F5"/>
    <x:mergeCell ref="A6:F6"/>
    <x:mergeCell ref="A7:F7"/>
    <x:mergeCell ref="A8:F8"/>
    <x:mergeCell ref="A9:F9"/>
    <x:mergeCell ref="A10:F10"/>
    <x:mergeCell ref="A18:F18"/>
    <x:mergeCell ref="A19:F19"/>
    <x:mergeCell ref="A20:F20"/>
    <x:mergeCell ref="A21:F21"/>
    <x:mergeCell ref="A22:F22"/>
  </x:mergeCells>
  <x:pageMargins left="0.7" right="0.7" top="0.75" bottom="0.75" header="0.3" footer="0.3"/>
</x:worksheet>
</file>