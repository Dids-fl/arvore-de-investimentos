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16f3e5cb2c4c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a14fc98c4a3245e1"/>
    <x:sheet xmlns:r="http://schemas.openxmlformats.org/officeDocument/2006/relationships" name="Casos" sheetId="2" r:id="R2ea86bba73da4b80"/>
    <x:sheet xmlns:r="http://schemas.openxmlformats.org/officeDocument/2006/relationships" name="Fontes" sheetId="3" r:id="R2a20e98e476d455e"/>
    <x:sheet xmlns:r="http://schemas.openxmlformats.org/officeDocument/2006/relationships" name="Checks" sheetId="4" r:id="R5d33167c6c1a4985"/>
    <x:sheet xmlns:r="http://schemas.openxmlformats.org/officeDocument/2006/relationships" name="Instrucoes" sheetId="5" r:id="R34db99298ca742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R$ #,##0.00;[Red](R$ #,##0.00);-"/>
    <x:numFmt numFmtId="201" formatCode="yyyy-mm-dd"/>
  </x:numFmts>
  <x:fonts count="1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55555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008000"/>
      <x:name val="Carlito"/>
    </x:font>
    <x:font>
      <x:b/>
      <x:sz val="11"/>
      <x:color rgb="FF008000"/>
      <x:name val="Carlito"/>
    </x:font>
    <x:font>
      <x:b/>
      <x:sz val="18"/>
      <x:color rgb="FFFFFFFF"/>
      <x:name val="Aptos"/>
    </x:font>
    <x:font>
      <x:i/>
      <x:sz val="11"/>
      <x:color rgb="FF555555"/>
      <x:name val="Aptos"/>
    </x:font>
    <x:font>
      <x:sz val="11"/>
      <x:name val="Aptos"/>
    </x:font>
    <x:font>
      <x:b/>
      <x:sz val="11"/>
      <x:color rgb="FFFFFFFF"/>
      <x:name val="Aptos"/>
    </x:font>
    <x:font>
      <x:sz val="11"/>
      <x:color rgb="FF008000"/>
      <x:name val="Aptos"/>
    </x:font>
    <x:font>
      <x:b/>
      <x:sz val="11"/>
      <x:color rgb="FF008000"/>
      <x:name val="Aptos"/>
    </x:font>
    <x:font>
      <x:b/>
      <x:sz val="11"/>
      <x:name val="Aptos"/>
    </x:font>
    <x:font>
      <x:sz val="11"/>
      <x:color rgb="FFFF0000"/>
      <x:name val="Carlito"/>
    </x:font>
    <x:font>
      <x:b/>
      <x:sz val="11"/>
      <x:color rgb="FF17365D"/>
      <x:name val="Carlito"/>
    </x:font>
    <x:font>
      <x:b/>
      <x:sz val="11"/>
      <x:color rgb="FF17365D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6B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8"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/>
    <x:xf numFmtId="0" fontId="0" fillId="0" borderId="1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6" xfId="0" applyNumberFormat="1" applyFont="1" applyFill="1" applyBorder="1"/>
    <x:xf numFmtId="0" fontId="4" fillId="4" borderId="6" xfId="0" applyNumberFormat="1" applyFont="1" applyFill="1" applyBorder="1"/>
    <x:xf numFmtId="0" fontId="5" fillId="0" borderId="0" xfId="0" applyNumberFormat="1" applyFont="1" applyFill="1" applyBorder="1"/>
    <x:xf numFmtId="0" fontId="6" fillId="3" borderId="2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/>
    <x:xf numFmtId="0" fontId="5" fillId="0" borderId="1" xfId="0" applyNumberFormat="1" applyFont="1" applyFill="1" applyBorder="1"/>
    <x:xf numFmtId="0" fontId="7" fillId="2" borderId="0" xfId="0" applyNumberFormat="1" applyFont="1" applyFill="1" applyBorder="1" applyAlignment="1">
      <x:alignment horizontal="left" vertical="center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10" fillId="3" borderId="1" xfId="0" applyNumberFormat="1" applyFont="1" applyFill="1" applyBorder="1" applyAlignment="1">
      <x:alignment vertical="center" wrapText="1"/>
    </x:xf>
    <x:xf numFmtId="0" fontId="10" fillId="3" borderId="2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2" fillId="3" borderId="2" xfId="0" applyNumberFormat="1" applyFont="1" applyFill="1" applyBorder="1" applyAlignment="1">
      <x:alignment vertical="center" wrapText="1"/>
    </x:xf>
    <x:xf numFmtId="0" fontId="9" fillId="0" borderId="3" xfId="0" applyNumberFormat="1" applyFont="1" applyFill="1" applyBorder="1"/>
    <x:xf numFmtId="0" fontId="11" fillId="0" borderId="4" xfId="0" applyNumberFormat="1" applyFont="1" applyFill="1" applyBorder="1"/>
    <x:xf numFmtId="0" fontId="9" fillId="0" borderId="2" xfId="0" applyNumberFormat="1" applyFont="1" applyFill="1" applyBorder="1"/>
    <x:xf numFmtId="0" fontId="11" fillId="0" borderId="1" xfId="0" applyNumberFormat="1" applyFont="1" applyFill="1" applyBorder="1"/>
    <x:xf numFmtId="0" fontId="9" fillId="0" borderId="1" xfId="0" applyNumberFormat="1" applyFont="1" applyFill="1" applyBorder="1"/>
    <x:xf numFmtId="0" fontId="9" fillId="0" borderId="5" xfId="0" applyNumberFormat="1" applyFont="1" applyFill="1" applyBorder="1"/>
    <x:xf numFmtId="0" fontId="13" fillId="4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7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3" borderId="7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5" fillId="5" borderId="0" xfId="0" applyNumberFormat="1" applyFont="1" applyFill="1" applyBorder="1"/>
    <x:xf numFmtId="0" fontId="15" fillId="5" borderId="0" xfId="0" applyNumberFormat="1" applyFont="1" applyFill="1" applyBorder="1" applyAlignment="1">
      <x:alignment wrapText="1"/>
    </x:xf>
    <x:xf numFmtId="0" fontId="15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6" fillId="5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800fa019b446b9" /><Relationship Type="http://schemas.openxmlformats.org/officeDocument/2006/relationships/theme" Target="/xl/theme/theme1.xml" Id="Rbbc057b21f654040" /><Relationship Type="http://schemas.microsoft.com/office/2022/11/relationships/FeaturePropertyBag" Target="/xl/featurePropertyBag/featurePropertyBag.xml" Id="Rc17fcf4fd017494d" /><Relationship Type="http://schemas.openxmlformats.org/officeDocument/2006/relationships/sharedStrings" Target="/xl/sharedStrings.xml" Id="R88a0aae672514ee2" /><Relationship Type="http://schemas.openxmlformats.org/officeDocument/2006/relationships/worksheet" Target="/xl/worksheets/sheet1.xml" Id="Ra14fc98c4a3245e1" /><Relationship Type="http://schemas.openxmlformats.org/officeDocument/2006/relationships/worksheet" Target="/xl/worksheets/sheet2.xml" Id="R2ea86bba73da4b80" /><Relationship Type="http://schemas.openxmlformats.org/officeDocument/2006/relationships/worksheet" Target="/xl/worksheets/sheet3.xml" Id="R2a20e98e476d455e" /><Relationship Type="http://schemas.openxmlformats.org/officeDocument/2006/relationships/worksheet" Target="/xl/worksheets/sheet4.xml" Id="R5d33167c6c1a4985" /><Relationship Type="http://schemas.openxmlformats.org/officeDocument/2006/relationships/worksheet" Target="/xl/worksheets/sheet5.xml" Id="R34db99298ca7423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cdefbbc340c41f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Casos por estado de validação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Casos</c:v>
          </c:tx>
          <c:cat>
            <c:strRef>
              <c:f>'Resumo'!$A$6:$A$10</c:f>
              <c:strCache>
                <c:ptCount val="0"/>
              </c:strCache>
            </c:strRef>
          </c:cat>
          <c:val>
            <c:numRef>
              <c:f>'Resumo'!$B$6:$B$10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defbbc340c41f1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xValidationCases" displayName="TaxValidationCases" ref="A1:V64" headerRowCount="1" totalsRowCount="0" totalsRowShown="0">
  <x:tableColumns count="22">
    <x:tableColumn id="1" name="Caso"/>
    <x:tableColumn id="2" name="Categoria"/>
    <x:tableColumn id="3" name="Status"/>
    <x:tableColumn id="4" name="Produto"/>
    <x:tableColumn id="5" name="Principal"/>
    <x:tableColumn id="6" name="Valor bruto"/>
    <x:tableColumn id="7" name="Ganho"/>
    <x:tableColumn id="8" name="Data aplicação"/>
    <x:tableColumn id="9" name="Data resgate"/>
    <x:tableColumn id="10" name="Imposto independente"/>
    <x:tableColumn id="11" name="Imposto motor"/>
    <x:tableColumn id="12" name="Diferença"/>
    <x:tableColumn id="13" name="Líquido independente"/>
    <x:tableColumn id="14" name="Líquido motor"/>
    <x:tableColumn id="15" name="Precisão"/>
    <x:tableColumn id="16" name="Regra"/>
    <x:tableColumn id="17" name="Confere motor"/>
    <x:tableColumn id="18" name="Confere fixture"/>
    <x:tableColumn id="19" name="Pendências / evidências"/>
    <x:tableColumn id="20" name="Fundamentos"/>
    <x:tableColumn id="21" name="Fonte do motor"/>
    <x:tableColumn id="22" name="Vigênc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fficialSources" displayName="OfficialSources" ref="A4:G20" headerRowCount="1" totalsRowCount="0" totalsRowShown="0">
  <x:tableColumns count="7">
    <x:tableColumn id="1" name="ID"/>
    <x:tableColumn id="2" name="Autoridade"/>
    <x:tableColumn id="3" name="URL"/>
    <x:tableColumn id="4" name="Vigência inicial"/>
    <x:tableColumn id="5" name="Consultada em"/>
    <x:tableColumn id="6" name="Escopo"/>
    <x:tableColumn id="7" name="Revisão human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eaf4c70a37e41e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66193ae9a240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30db6f85814e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4" max="4" width="24" hidden="0" customWidth="1"/>
    <x:col min="5" max="5" width="12" hidden="0" customWidth="1"/>
  </x:cols>
  <x:sheetData>
    <x:row r="1" ht="32" customHeight="1">
      <x:c r="A1" s="26" t="str">
        <x:v>Matriz de Validação Tributária Independente</x:v>
      </x:c>
      <x:c r="B1" s="26" t="str">
        <x:v>Matriz de Validação Tributária Independente</x:v>
      </x:c>
      <x:c r="C1" s="26" t="str">
        <x:v>Matriz de Validação Tributária Independente</x:v>
      </x:c>
      <x:c r="D1" s="26" t="str">
        <x:v>Matriz de Validação Tributária Independente</x:v>
      </x:c>
      <x:c r="E1" s="26" t="str">
        <x:v>Matriz de Validação Tributária Independente</x:v>
      </x:c>
      <x:c r="F1" s="26" t="str">
        <x:v>Matriz de Validação Tributária Independente</x:v>
      </x:c>
      <x:c r="G1" s="26" t="str">
        <x:v>Matriz de Validação Tributária Independente</x:v>
      </x:c>
      <x:c r="H1" s="26" t="str">
        <x:v>Matriz de Validação Tributária Independente</x:v>
      </x:c>
      <x:c r="I1" s="26" t="str">
        <x:v>Matriz de Validação Tributária Independente</x:v>
      </x:c>
      <x:c r="J1" s="26" t="str">
        <x:v>Matriz de Validação Tributária Independente</x:v>
      </x:c>
      <x:c r="K1" s="26" t="str">
        <x:v>Matriz de Validação Tributária Independente</x:v>
      </x:c>
      <x:c r="L1" s="26" t="str">
        <x:v>Matriz de Validação Tributária Independente</x:v>
      </x:c>
      <x:c r="M1" s="26" t="str">
        <x:v>Matriz de Validação Tributária Independente</x:v>
      </x:c>
      <x:c r="N1" s="26" t="str">
        <x:v>Matriz de Validação Tributária Independente</x:v>
      </x:c>
      <x:c r="O1" s="26" t="str">
        <x:v>Matriz de Validação Tributária Independente</x:v>
      </x:c>
      <x:c r="P1" s="26" t="str">
        <x:v>Matriz de Validação Tributária Independente</x:v>
      </x:c>
    </x:row>
    <x:row r="2" ht="32" customHeight="1">
      <x:c r="A2" s="26" t="str">
        <x:v>Matriz de Validação Tributária Independente</x:v>
      </x:c>
      <x:c r="B2" s="26" t="str">
        <x:v>Matriz de Validação Tributária Independente</x:v>
      </x:c>
      <x:c r="C2" s="26" t="str">
        <x:v>Matriz de Validação Tributária Independente</x:v>
      </x:c>
      <x:c r="D2" s="26" t="str">
        <x:v>Matriz de Validação Tributária Independente</x:v>
      </x:c>
      <x:c r="E2" s="26" t="str">
        <x:v>Matriz de Validação Tributária Independente</x:v>
      </x:c>
      <x:c r="F2" s="26" t="str">
        <x:v>Matriz de Validação Tributária Independente</x:v>
      </x:c>
      <x:c r="G2" s="26" t="str">
        <x:v>Matriz de Validação Tributária Independente</x:v>
      </x:c>
      <x:c r="H2" s="26" t="str">
        <x:v>Matriz de Validação Tributária Independente</x:v>
      </x:c>
      <x:c r="I2" s="26" t="str">
        <x:v>Matriz de Validação Tributária Independente</x:v>
      </x:c>
      <x:c r="J2" s="26" t="str">
        <x:v>Matriz de Validação Tributária Independente</x:v>
      </x:c>
      <x:c r="K2" s="26" t="str">
        <x:v>Matriz de Validação Tributária Independente</x:v>
      </x:c>
      <x:c r="L2" s="26" t="str">
        <x:v>Matriz de Validação Tributária Independente</x:v>
      </x:c>
      <x:c r="M2" s="26" t="str">
        <x:v>Matriz de Validação Tributária Independente</x:v>
      </x:c>
      <x:c r="N2" s="26" t="str">
        <x:v>Matriz de Validação Tributária Independente</x:v>
      </x:c>
      <x:c r="O2" s="26" t="str">
        <x:v>Matriz de Validação Tributária Independente</x:v>
      </x:c>
      <x:c r="P2" s="26" t="str">
        <x:v>Matriz de Validação Tributária Independente</x:v>
      </x:c>
    </x:row>
    <x:row r="3">
      <x:c r="A3" s="27" t="str">
        <x:v>Data-base 2026-08-05 | 63 casos | seis grupos | validação técnica, não certificação jurídica</x:v>
      </x:c>
      <x:c r="B3" s="27" t="str">
        <x:v>Data-base 2026-08-05 | 63 casos | seis grupos | validação técnica, não certificação jurídica</x:v>
      </x:c>
      <x:c r="C3" s="27" t="str">
        <x:v>Data-base 2026-08-05 | 63 casos | seis grupos | validação técnica, não certificação jurídica</x:v>
      </x:c>
      <x:c r="D3" s="27" t="str">
        <x:v>Data-base 2026-08-05 | 63 casos | seis grupos | validação técnica, não certificação jurídica</x:v>
      </x:c>
      <x:c r="E3" s="27" t="str">
        <x:v>Data-base 2026-08-05 | 63 casos | seis grupos | validação técnica, não certificação jurídica</x:v>
      </x:c>
      <x:c r="F3" s="27" t="str">
        <x:v>Data-base 2026-08-05 | 63 casos | seis grupos | validação técnica, não certificação jurídica</x:v>
      </x:c>
      <x:c r="G3" s="27" t="str">
        <x:v>Data-base 2026-08-05 | 63 casos | seis grupos | validação técnica, não certificação jurídica</x:v>
      </x:c>
      <x:c r="H3" s="27" t="str">
        <x:v>Data-base 2026-08-05 | 63 casos | seis grupos | validação técnica, não certificação jurídica</x:v>
      </x:c>
      <x:c r="I3" s="27" t="str">
        <x:v>Data-base 2026-08-05 | 63 casos | seis grupos | validação técnica, não certificação jurídica</x:v>
      </x:c>
      <x:c r="J3" s="27" t="str">
        <x:v>Data-base 2026-08-05 | 63 casos | seis grupos | validação técnica, não certificação jurídica</x:v>
      </x:c>
      <x:c r="K3" s="27" t="str">
        <x:v>Data-base 2026-08-05 | 63 casos | seis grupos | validação técnica, não certificação jurídica</x:v>
      </x:c>
      <x:c r="L3" s="27" t="str">
        <x:v>Data-base 2026-08-05 | 63 casos | seis grupos | validação técnica, não certificação jurídica</x:v>
      </x:c>
      <x:c r="M3" s="27" t="str">
        <x:v>Data-base 2026-08-05 | 63 casos | seis grupos | validação técnica, não certificação jurídica</x:v>
      </x:c>
      <x:c r="N3" s="27" t="str">
        <x:v>Data-base 2026-08-05 | 63 casos | seis grupos | validação técnica, não certificação jurídica</x:v>
      </x:c>
      <x:c r="O3" s="27" t="str">
        <x:v>Data-base 2026-08-05 | 63 casos | seis grupos | validação técnica, não certificação jurídica</x:v>
      </x:c>
      <x:c r="P3" s="27" t="str">
        <x:v>Data-base 2026-08-05 | 63 casos | seis grupos | validação técnica, não certificação jurídica</x:v>
      </x:c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</x:row>
    <x:row r="5">
      <x:c r="A5" s="29" t="str">
        <x:v>Status</x:v>
      </x:c>
      <x:c r="B5" s="30" t="str">
        <x:v>Casos</x:v>
      </x:c>
      <x:c r="C5" s="28"/>
      <x:c r="D5" s="29" t="str">
        <x:v>Categoria</x:v>
      </x:c>
      <x:c r="E5" s="30" t="str">
        <x:v>Casos</x:v>
      </x:c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</x:row>
    <x:row r="6">
      <x:c r="A6" s="28" t="str">
        <x:v>VALIDADO_CALCULO</x:v>
      </x:c>
      <x:c r="B6" s="31" t="n">
        <x:f>COUNTIF('Casos'!$C$2:$C$64,A6)</x:f>
        <x:v>21</x:v>
      </x:c>
      <x:c r="C6" s="28"/>
      <x:c r="D6" s="28" t="str">
        <x:v>renda_fixa</x:v>
      </x:c>
      <x:c r="E6" s="28" t="n">
        <x:f>COUNTIF('Casos'!$B$2:$B$64,D6)</x:f>
        <x:v>13</x:v>
      </x:c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</x:row>
    <x:row r="7">
      <x:c r="A7" s="28" t="str">
        <x:v>VALIDADO_GUARDRAIL</x:v>
      </x:c>
      <x:c r="B7" s="31" t="n">
        <x:f>COUNTIF('Casos'!$C$2:$C$64,A7)</x:f>
        <x:v>5</x:v>
      </x:c>
      <x:c r="C7" s="28"/>
      <x:c r="D7" s="28" t="str">
        <x:v>fundos</x:v>
      </x:c>
      <x:c r="E7" s="28" t="n">
        <x:f>COUNTIF('Casos'!$B$2:$B$64,D7)</x:f>
        <x:v>12</x:v>
      </x:c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</x:row>
    <x:row r="8">
      <x:c r="A8" s="28" t="str">
        <x:v>PENDENTE_EVIDENCIA</x:v>
      </x:c>
      <x:c r="B8" s="31" t="n">
        <x:f>COUNTIF('Casos'!$C$2:$C$64,A8)</x:f>
        <x:v>34</x:v>
      </x:c>
      <x:c r="C8" s="28"/>
      <x:c r="D8" s="28" t="str">
        <x:v>previdencia</x:v>
      </x:c>
      <x:c r="E8" s="28" t="n">
        <x:f>COUNTIF('Casos'!$B$2:$B$64,D8)</x:f>
        <x:v>11</x:v>
      </x:c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</x:row>
    <x:row r="9">
      <x:c r="A9" s="28" t="str">
        <x:v>FORA_DO_ESCOPO</x:v>
      </x:c>
      <x:c r="B9" s="31" t="n">
        <x:f>COUNTIF('Casos'!$C$2:$C$64,A9)</x:f>
        <x:v>3</x:v>
      </x:c>
      <x:c r="C9" s="28"/>
      <x:c r="D9" s="28" t="str">
        <x:v>renda_variavel</x:v>
      </x:c>
      <x:c r="E9" s="28" t="n">
        <x:f>COUNTIF('Casos'!$B$2:$B$64,D9)</x:f>
        <x:v>10</x:v>
      </x:c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</x:row>
    <x:row r="10">
      <x:c r="A10" s="28" t="str">
        <x:v>DIVERGENTE</x:v>
      </x:c>
      <x:c r="B10" s="31" t="n">
        <x:f>COUNTIF('Casos'!$C$2:$C$64,A10)</x:f>
        <x:v>0</x:v>
      </x:c>
      <x:c r="C10" s="28"/>
      <x:c r="D10" s="28" t="str">
        <x:v>estruturados</x:v>
      </x:c>
      <x:c r="E10" s="28" t="n">
        <x:f>COUNTIF('Casos'!$B$2:$B$64,D10)</x:f>
        <x:v>9</x:v>
      </x:c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</x:row>
    <x:row r="11">
      <x:c r="A11" s="28"/>
      <x:c r="B11" s="31"/>
      <x:c r="C11" s="28"/>
      <x:c r="D11" s="28" t="str">
        <x:v>cripto</x:v>
      </x:c>
      <x:c r="E11" s="28" t="n">
        <x:f>COUNTIF('Casos'!$B$2:$B$64,D11)</x:f>
        <x:v>8</x:v>
      </x:c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</x:row>
    <x:row r="12">
      <x:c r="A12" s="28"/>
      <x:c r="B12" s="31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</x:row>
    <x:row r="13">
      <x:c r="A13" s="29" t="str">
        <x:v>Indicador</x:v>
      </x:c>
      <x:c r="B13" s="32" t="str">
        <x:v>Resultado</x:v>
      </x:c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</x:row>
    <x:row r="14">
      <x:c r="A14" s="33" t="str">
        <x:v>Casos totais</x:v>
      </x:c>
      <x:c r="B14" s="34" t="n">
        <x:f>SUM(B6:B10)</x:f>
        <x:v>63</x:v>
      </x:c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</x:row>
    <x:row r="15">
      <x:c r="A15" s="35" t="str">
        <x:v>Divergências</x:v>
      </x:c>
      <x:c r="B15" s="36" t="n">
        <x:f>B10</x:f>
        <x:v>0</x:v>
      </x:c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</x:row>
    <x:row r="16">
      <x:c r="A16" s="35" t="str">
        <x:v>Fontes estruturadas válidas</x:v>
      </x:c>
      <x:c r="B16" s="37" t="str">
        <x:v>SIM</x:v>
      </x:c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</x:row>
    <x:row r="17">
      <x:c r="A17" s="35" t="str">
        <x:v>Fontes pendentes de revisão profissional</x:v>
      </x:c>
      <x:c r="B17" s="37" t="n">
        <x:v>16</x:v>
      </x:c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</x:row>
    <x:row r="18">
      <x:c r="A18" s="38" t="str">
        <x:v>Estado jurídico</x:v>
      </x:c>
      <x:c r="B18" s="39" t="str">
        <x:v>REVISÃO PROFISSIONAL PENDENTE</x:v>
      </x:c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</x:row>
  </x:sheetData>
  <x:mergeCells>
    <x:mergeCell ref="A1:P2"/>
    <x:mergeCell ref="A3:P3"/>
  </x:mergeCells>
  <x:conditionalFormatting sqref="A6:B10">
    <x:cfRule type="containsText" dxfId="0" priority="1" operator="containsText" text="DIVERGENTE"/>
  </x:conditionalFormatting>
  <x:pageMargins left="0.7" right="0.7" top="0.75" bottom="0.75" header="0.3" footer="0.3"/>
  <x:drawing xmlns:r="http://schemas.openxmlformats.org/officeDocument/2006/relationships" r:id="R8eaf4c70a37e41e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8" hidden="0" customWidth="1"/>
    <x:col min="3" max="3" width="24" hidden="0" customWidth="1"/>
    <x:col min="4" max="4" width="20" hidden="0" customWidth="1"/>
    <x:col min="5" max="5" width="15" hidden="0" customWidth="1"/>
    <x:col min="6" max="6" width="15" hidden="0" customWidth="1"/>
    <x:col min="7" max="7" width="15" hidden="0" customWidth="1"/>
    <x:col min="8" max="8" width="14" hidden="0" customWidth="1"/>
    <x:col min="9" max="9" width="14" hidden="0" customWidth="1"/>
    <x:col min="10" max="10" width="18" hidden="0" customWidth="1"/>
    <x:col min="11" max="11" width="18" hidden="0" customWidth="1"/>
    <x:col min="12" max="12" width="15" hidden="0" customWidth="1"/>
    <x:col min="13" max="13" width="18" hidden="0" customWidth="1"/>
    <x:col min="14" max="14" width="18" hidden="0" customWidth="1"/>
    <x:col min="15" max="15" width="20" hidden="0" customWidth="1"/>
    <x:col min="16" max="16" width="38" hidden="0" customWidth="1"/>
    <x:col min="17" max="17" width="14" hidden="0" customWidth="1"/>
    <x:col min="18" max="18" width="14" hidden="0" customWidth="1"/>
    <x:col min="19" max="19" width="55" hidden="0" customWidth="1"/>
    <x:col min="20" max="20" width="55" hidden="0" customWidth="1"/>
    <x:col min="21" max="21" width="70" hidden="0" customWidth="1"/>
    <x:col min="22" max="22" width="14" hidden="0" customWidth="1"/>
  </x:cols>
  <x:sheetData>
    <x:row r="1">
      <x:c r="A1" s="29" t="str">
        <x:v>Caso</x:v>
      </x:c>
      <x:c r="B1" s="54" t="str">
        <x:v>Categoria</x:v>
      </x:c>
      <x:c r="C1" s="54" t="str">
        <x:v>Status</x:v>
      </x:c>
      <x:c r="D1" s="54" t="str">
        <x:v>Produto</x:v>
      </x:c>
      <x:c r="E1" s="54" t="str">
        <x:v>Principal</x:v>
      </x:c>
      <x:c r="F1" s="54" t="str">
        <x:v>Valor bruto</x:v>
      </x:c>
      <x:c r="G1" s="54" t="str">
        <x:v>Ganho</x:v>
      </x:c>
      <x:c r="H1" s="54" t="str">
        <x:v>Data aplicação</x:v>
      </x:c>
      <x:c r="I1" s="54" t="str">
        <x:v>Data resgate</x:v>
      </x:c>
      <x:c r="J1" s="54" t="str">
        <x:v>Imposto independente</x:v>
      </x:c>
      <x:c r="K1" s="54" t="str">
        <x:v>Imposto motor</x:v>
      </x:c>
      <x:c r="L1" s="54" t="str">
        <x:v>Diferença</x:v>
      </x:c>
      <x:c r="M1" s="54" t="str">
        <x:v>Líquido independente</x:v>
      </x:c>
      <x:c r="N1" s="54" t="str">
        <x:v>Líquido motor</x:v>
      </x:c>
      <x:c r="O1" s="54" t="str">
        <x:v>Precisão</x:v>
      </x:c>
      <x:c r="P1" s="54" t="str">
        <x:v>Regra</x:v>
      </x:c>
      <x:c r="Q1" s="54" t="str">
        <x:v>Confere motor</x:v>
      </x:c>
      <x:c r="R1" s="54" t="str">
        <x:v>Confere fixture</x:v>
      </x:c>
      <x:c r="S1" s="54" t="str">
        <x:v>Pendências / evidências</x:v>
      </x:c>
      <x:c r="T1" s="54" t="str">
        <x:v>Fundamentos</x:v>
      </x:c>
      <x:c r="U1" s="54" t="str">
        <x:v>Fonte do motor</x:v>
      </x:c>
      <x:c r="V1" s="30" t="str">
        <x:v>Vigência</x:v>
      </x:c>
    </x:row>
    <x:row r="2">
      <x:c r="A2" s="50" t="str">
        <x:v>cdb_1_dia_com_iof</x:v>
      </x:c>
      <x:c r="B2" s="50" t="str">
        <x:v>renda_fixa</x:v>
      </x:c>
      <x:c r="C2" s="50" t="str">
        <x:v>VALIDADO_CALCULO</x:v>
      </x:c>
      <x:c r="D2" s="50" t="str">
        <x:v>cdb</x:v>
      </x:c>
      <x:c r="E2" s="51" t="n">
        <x:v>10000</x:v>
      </x:c>
      <x:c r="F2" s="51" t="n">
        <x:v>11000</x:v>
      </x:c>
      <x:c r="G2" s="51" t="n">
        <x:f>MAX(0,F2-E2)</x:f>
        <x:v>1000</x:v>
      </x:c>
      <x:c r="H2" s="52" t="n">
        <x:v>46023</x:v>
      </x:c>
      <x:c r="I2" s="52" t="n">
        <x:v>46024</x:v>
      </x:c>
      <x:c r="J2" s="51" t="n">
        <x:v>969</x:v>
      </x:c>
      <x:c r="K2" s="51" t="n">
        <x:v>969</x:v>
      </x:c>
      <x:c r="L2" s="51" t="n">
        <x:f>K2-J2</x:f>
        <x:v>0</x:v>
      </x:c>
      <x:c r="M2" s="51" t="n">
        <x:v>10031</x:v>
      </x:c>
      <x:c r="N2" s="51" t="n">
        <x:v>10031</x:v>
      </x:c>
      <x:c r="O2" s="50" t="str">
        <x:v>exata_para_premissas</x:v>
      </x:c>
      <x:c r="P2" s="50" t="str">
        <x:v>rf_regressiva_2026</x:v>
      </x:c>
      <x:c r="Q2" s="53" t="b">
        <x:v>1</x:v>
      </x:c>
      <x:c r="R2" s="53" t="b">
        <x:v>1</x:v>
      </x:c>
      <x:c r="S2" s="50" t="str"/>
      <x:c r="T2" s="50" t="str">
        <x:v>IOF calculado antes do IR para prazos inferiores a 30 dias. | IR regressivo por prazo sobre o rendimento líquido de IOF.</x:v>
      </x:c>
      <x:c r="U2" s="50" t="str">
        <x:v>https://www.gov.br/receitafederal/pt-br/assuntos/meu-imposto-de-renda/tabelas/2026</x:v>
      </x:c>
      <x:c r="V2" s="52" t="n">
        <x:v>46023</x:v>
      </x:c>
    </x:row>
    <x:row r="3">
      <x:c r="A3" s="50" t="str">
        <x:v>cdb_29_dias_com_iof</x:v>
      </x:c>
      <x:c r="B3" s="50" t="str">
        <x:v>renda_fixa</x:v>
      </x:c>
      <x:c r="C3" s="50" t="str">
        <x:v>VALIDADO_CALCULO</x:v>
      </x:c>
      <x:c r="D3" s="50" t="str">
        <x:v>cdb</x:v>
      </x:c>
      <x:c r="E3" s="51" t="n">
        <x:v>10000</x:v>
      </x:c>
      <x:c r="F3" s="51" t="n">
        <x:v>11000</x:v>
      </x:c>
      <x:c r="G3" s="51" t="n">
        <x:f>MAX(0,F3-E3)</x:f>
        <x:v>1000</x:v>
      </x:c>
      <x:c r="H3" s="52" t="n">
        <x:v>46023</x:v>
      </x:c>
      <x:c r="I3" s="52" t="n">
        <x:v>46052</x:v>
      </x:c>
      <x:c r="J3" s="51" t="n">
        <x:v>248.25</x:v>
      </x:c>
      <x:c r="K3" s="51" t="n">
        <x:v>248.25</x:v>
      </x:c>
      <x:c r="L3" s="51" t="n">
        <x:f>K3-J3</x:f>
        <x:v>0</x:v>
      </x:c>
      <x:c r="M3" s="51" t="n">
        <x:v>10751.75</x:v>
      </x:c>
      <x:c r="N3" s="51" t="n">
        <x:v>10751.75</x:v>
      </x:c>
      <x:c r="O3" s="50" t="str">
        <x:v>exata_para_premissas</x:v>
      </x:c>
      <x:c r="P3" s="50" t="str">
        <x:v>rf_regressiva_2026</x:v>
      </x:c>
      <x:c r="Q3" s="53" t="b">
        <x:v>1</x:v>
      </x:c>
      <x:c r="R3" s="53" t="b">
        <x:v>1</x:v>
      </x:c>
      <x:c r="S3" s="50" t="str"/>
      <x:c r="T3" s="50" t="str">
        <x:v>IOF calculado antes do IR para prazos inferiores a 30 dias. | IR regressivo por prazo sobre o rendimento líquido de IOF.</x:v>
      </x:c>
      <x:c r="U3" s="50" t="str">
        <x:v>https://www.gov.br/receitafederal/pt-br/assuntos/meu-imposto-de-renda/tabelas/2026</x:v>
      </x:c>
      <x:c r="V3" s="52" t="n">
        <x:v>46023</x:v>
      </x:c>
    </x:row>
    <x:row r="4">
      <x:c r="A4" s="50" t="str">
        <x:v>cdb_30_dias_sem_iof</x:v>
      </x:c>
      <x:c r="B4" s="50" t="str">
        <x:v>renda_fixa</x:v>
      </x:c>
      <x:c r="C4" s="50" t="str">
        <x:v>VALIDADO_CALCULO</x:v>
      </x:c>
      <x:c r="D4" s="50" t="str">
        <x:v>cdb</x:v>
      </x:c>
      <x:c r="E4" s="51" t="n">
        <x:v>10000</x:v>
      </x:c>
      <x:c r="F4" s="51" t="n">
        <x:v>11000</x:v>
      </x:c>
      <x:c r="G4" s="51" t="n">
        <x:f>MAX(0,F4-E4)</x:f>
        <x:v>1000</x:v>
      </x:c>
      <x:c r="H4" s="52" t="n">
        <x:v>46023</x:v>
      </x:c>
      <x:c r="I4" s="52" t="n">
        <x:v>46053</x:v>
      </x:c>
      <x:c r="J4" s="51" t="n">
        <x:v>225</x:v>
      </x:c>
      <x:c r="K4" s="51" t="n">
        <x:v>225</x:v>
      </x:c>
      <x:c r="L4" s="51" t="n">
        <x:f>K4-J4</x:f>
        <x:v>0</x:v>
      </x:c>
      <x:c r="M4" s="51" t="n">
        <x:v>10775</x:v>
      </x:c>
      <x:c r="N4" s="51" t="n">
        <x:v>10775</x:v>
      </x:c>
      <x:c r="O4" s="50" t="str">
        <x:v>exata_para_premissas</x:v>
      </x:c>
      <x:c r="P4" s="50" t="str">
        <x:v>rf_regressiva_2026</x:v>
      </x:c>
      <x:c r="Q4" s="53" t="b">
        <x:v>1</x:v>
      </x:c>
      <x:c r="R4" s="53" t="b">
        <x:v>1</x:v>
      </x:c>
      <x:c r="S4" s="50" t="str"/>
      <x:c r="T4" s="50" t="str">
        <x:v>IOF calculado antes do IR para prazos inferiores a 30 dias. | IR regressivo por prazo sobre o rendimento líquido de IOF.</x:v>
      </x:c>
      <x:c r="U4" s="50" t="str">
        <x:v>https://www.gov.br/receitafederal/pt-br/assuntos/meu-imposto-de-renda/tabelas/2026</x:v>
      </x:c>
      <x:c r="V4" s="52" t="n">
        <x:v>46023</x:v>
      </x:c>
    </x:row>
    <x:row r="5">
      <x:c r="A5" s="50" t="str">
        <x:v>cdb_180_dias</x:v>
      </x:c>
      <x:c r="B5" s="50" t="str">
        <x:v>renda_fixa</x:v>
      </x:c>
      <x:c r="C5" s="50" t="str">
        <x:v>VALIDADO_CALCULO</x:v>
      </x:c>
      <x:c r="D5" s="50" t="str">
        <x:v>cdb</x:v>
      </x:c>
      <x:c r="E5" s="51" t="n">
        <x:v>10000</x:v>
      </x:c>
      <x:c r="F5" s="51" t="n">
        <x:v>11000</x:v>
      </x:c>
      <x:c r="G5" s="51" t="n">
        <x:f>MAX(0,F5-E5)</x:f>
        <x:v>1000</x:v>
      </x:c>
      <x:c r="H5" s="52" t="n">
        <x:v>46023</x:v>
      </x:c>
      <x:c r="I5" s="52" t="n">
        <x:v>46203</x:v>
      </x:c>
      <x:c r="J5" s="51" t="n">
        <x:v>225</x:v>
      </x:c>
      <x:c r="K5" s="51" t="n">
        <x:v>225</x:v>
      </x:c>
      <x:c r="L5" s="51" t="n">
        <x:f>K5-J5</x:f>
        <x:v>0</x:v>
      </x:c>
      <x:c r="M5" s="51" t="n">
        <x:v>10775</x:v>
      </x:c>
      <x:c r="N5" s="51" t="n">
        <x:v>10775</x:v>
      </x:c>
      <x:c r="O5" s="50" t="str">
        <x:v>exata_para_premissas</x:v>
      </x:c>
      <x:c r="P5" s="50" t="str">
        <x:v>rf_regressiva_2026</x:v>
      </x:c>
      <x:c r="Q5" s="53" t="b">
        <x:v>1</x:v>
      </x:c>
      <x:c r="R5" s="53" t="b">
        <x:v>1</x:v>
      </x:c>
      <x:c r="S5" s="50" t="str"/>
      <x:c r="T5" s="50" t="str">
        <x:v>IOF calculado antes do IR para prazos inferiores a 30 dias. | IR regressivo por prazo sobre o rendimento líquido de IOF.</x:v>
      </x:c>
      <x:c r="U5" s="50" t="str">
        <x:v>https://www.gov.br/receitafederal/pt-br/assuntos/meu-imposto-de-renda/tabelas/2026</x:v>
      </x:c>
      <x:c r="V5" s="52" t="n">
        <x:v>46023</x:v>
      </x:c>
    </x:row>
    <x:row r="6">
      <x:c r="A6" s="50" t="str">
        <x:v>cdb_181_dias</x:v>
      </x:c>
      <x:c r="B6" s="50" t="str">
        <x:v>renda_fixa</x:v>
      </x:c>
      <x:c r="C6" s="50" t="str">
        <x:v>VALIDADO_CALCULO</x:v>
      </x:c>
      <x:c r="D6" s="50" t="str">
        <x:v>cdb</x:v>
      </x:c>
      <x:c r="E6" s="51" t="n">
        <x:v>10000</x:v>
      </x:c>
      <x:c r="F6" s="51" t="n">
        <x:v>11000</x:v>
      </x:c>
      <x:c r="G6" s="51" t="n">
        <x:f>MAX(0,F6-E6)</x:f>
        <x:v>1000</x:v>
      </x:c>
      <x:c r="H6" s="52" t="n">
        <x:v>46023</x:v>
      </x:c>
      <x:c r="I6" s="52" t="n">
        <x:v>46204</x:v>
      </x:c>
      <x:c r="J6" s="51" t="n">
        <x:v>200</x:v>
      </x:c>
      <x:c r="K6" s="51" t="n">
        <x:v>200</x:v>
      </x:c>
      <x:c r="L6" s="51" t="n">
        <x:f>K6-J6</x:f>
        <x:v>0</x:v>
      </x:c>
      <x:c r="M6" s="51" t="n">
        <x:v>10800</x:v>
      </x:c>
      <x:c r="N6" s="51" t="n">
        <x:v>10800</x:v>
      </x:c>
      <x:c r="O6" s="50" t="str">
        <x:v>exata_para_premissas</x:v>
      </x:c>
      <x:c r="P6" s="50" t="str">
        <x:v>rf_regressiva_2026</x:v>
      </x:c>
      <x:c r="Q6" s="53" t="b">
        <x:v>1</x:v>
      </x:c>
      <x:c r="R6" s="53" t="b">
        <x:v>1</x:v>
      </x:c>
      <x:c r="S6" s="50" t="str"/>
      <x:c r="T6" s="50" t="str">
        <x:v>IOF calculado antes do IR para prazos inferiores a 30 dias. | IR regressivo por prazo sobre o rendimento líquido de IOF.</x:v>
      </x:c>
      <x:c r="U6" s="50" t="str">
        <x:v>https://www.gov.br/receitafederal/pt-br/assuntos/meu-imposto-de-renda/tabelas/2026</x:v>
      </x:c>
      <x:c r="V6" s="52" t="n">
        <x:v>46023</x:v>
      </x:c>
    </x:row>
    <x:row r="7">
      <x:c r="A7" s="50" t="str">
        <x:v>cdb_360_dias</x:v>
      </x:c>
      <x:c r="B7" s="50" t="str">
        <x:v>renda_fixa</x:v>
      </x:c>
      <x:c r="C7" s="50" t="str">
        <x:v>VALIDADO_CALCULO</x:v>
      </x:c>
      <x:c r="D7" s="50" t="str">
        <x:v>cdb</x:v>
      </x:c>
      <x:c r="E7" s="51" t="n">
        <x:v>10000</x:v>
      </x:c>
      <x:c r="F7" s="51" t="n">
        <x:v>11000</x:v>
      </x:c>
      <x:c r="G7" s="51" t="n">
        <x:f>MAX(0,F7-E7)</x:f>
        <x:v>1000</x:v>
      </x:c>
      <x:c r="H7" s="52" t="n">
        <x:v>46023</x:v>
      </x:c>
      <x:c r="I7" s="52" t="n">
        <x:v>46383</x:v>
      </x:c>
      <x:c r="J7" s="51" t="n">
        <x:v>200</x:v>
      </x:c>
      <x:c r="K7" s="51" t="n">
        <x:v>200</x:v>
      </x:c>
      <x:c r="L7" s="51" t="n">
        <x:f>K7-J7</x:f>
        <x:v>0</x:v>
      </x:c>
      <x:c r="M7" s="51" t="n">
        <x:v>10800</x:v>
      </x:c>
      <x:c r="N7" s="51" t="n">
        <x:v>10800</x:v>
      </x:c>
      <x:c r="O7" s="50" t="str">
        <x:v>exata_para_premissas</x:v>
      </x:c>
      <x:c r="P7" s="50" t="str">
        <x:v>rf_regressiva_2026</x:v>
      </x:c>
      <x:c r="Q7" s="53" t="b">
        <x:v>1</x:v>
      </x:c>
      <x:c r="R7" s="53" t="b">
        <x:v>1</x:v>
      </x:c>
      <x:c r="S7" s="50" t="str"/>
      <x:c r="T7" s="50" t="str">
        <x:v>IOF calculado antes do IR para prazos inferiores a 30 dias. | IR regressivo por prazo sobre o rendimento líquido de IOF.</x:v>
      </x:c>
      <x:c r="U7" s="50" t="str">
        <x:v>https://www.gov.br/receitafederal/pt-br/assuntos/meu-imposto-de-renda/tabelas/2026</x:v>
      </x:c>
      <x:c r="V7" s="52" t="n">
        <x:v>46023</x:v>
      </x:c>
    </x:row>
    <x:row r="8">
      <x:c r="A8" s="50" t="str">
        <x:v>cdb_361_dias</x:v>
      </x:c>
      <x:c r="B8" s="50" t="str">
        <x:v>renda_fixa</x:v>
      </x:c>
      <x:c r="C8" s="50" t="str">
        <x:v>VALIDADO_CALCULO</x:v>
      </x:c>
      <x:c r="D8" s="50" t="str">
        <x:v>cdb</x:v>
      </x:c>
      <x:c r="E8" s="51" t="n">
        <x:v>10000</x:v>
      </x:c>
      <x:c r="F8" s="51" t="n">
        <x:v>11000</x:v>
      </x:c>
      <x:c r="G8" s="51" t="n">
        <x:f>MAX(0,F8-E8)</x:f>
        <x:v>1000</x:v>
      </x:c>
      <x:c r="H8" s="52" t="n">
        <x:v>46023</x:v>
      </x:c>
      <x:c r="I8" s="52" t="n">
        <x:v>46384</x:v>
      </x:c>
      <x:c r="J8" s="51" t="n">
        <x:v>175</x:v>
      </x:c>
      <x:c r="K8" s="51" t="n">
        <x:v>175</x:v>
      </x:c>
      <x:c r="L8" s="51" t="n">
        <x:f>K8-J8</x:f>
        <x:v>0</x:v>
      </x:c>
      <x:c r="M8" s="51" t="n">
        <x:v>10825</x:v>
      </x:c>
      <x:c r="N8" s="51" t="n">
        <x:v>10825</x:v>
      </x:c>
      <x:c r="O8" s="50" t="str">
        <x:v>exata_para_premissas</x:v>
      </x:c>
      <x:c r="P8" s="50" t="str">
        <x:v>rf_regressiva_2026</x:v>
      </x:c>
      <x:c r="Q8" s="53" t="b">
        <x:v>1</x:v>
      </x:c>
      <x:c r="R8" s="53" t="b">
        <x:v>1</x:v>
      </x:c>
      <x:c r="S8" s="50" t="str"/>
      <x:c r="T8" s="50" t="str">
        <x:v>IOF calculado antes do IR para prazos inferiores a 30 dias. | IR regressivo por prazo sobre o rendimento líquido de IOF.</x:v>
      </x:c>
      <x:c r="U8" s="50" t="str">
        <x:v>https://www.gov.br/receitafederal/pt-br/assuntos/meu-imposto-de-renda/tabelas/2026</x:v>
      </x:c>
      <x:c r="V8" s="52" t="n">
        <x:v>46023</x:v>
      </x:c>
    </x:row>
    <x:row r="9">
      <x:c r="A9" s="50" t="str">
        <x:v>cdb_720_dias</x:v>
      </x:c>
      <x:c r="B9" s="50" t="str">
        <x:v>renda_fixa</x:v>
      </x:c>
      <x:c r="C9" s="50" t="str">
        <x:v>PENDENTE_EVIDENCIA</x:v>
      </x:c>
      <x:c r="D9" s="50" t="str">
        <x:v>cdb</x:v>
      </x:c>
      <x:c r="E9" s="51" t="n">
        <x:v>10000</x:v>
      </x:c>
      <x:c r="F9" s="51" t="n">
        <x:v>11000</x:v>
      </x:c>
      <x:c r="G9" s="51" t="n">
        <x:f>MAX(0,F9-E9)</x:f>
        <x:v>1000</x:v>
      </x:c>
      <x:c r="H9" s="52" t="n">
        <x:v>46023</x:v>
      </x:c>
      <x:c r="I9" s="52" t="n">
        <x:v>46743</x:v>
      </x:c>
      <x:c r="J9" s="51" t="n">
        <x:v>175</x:v>
      </x:c>
      <x:c r="K9" s="51" t="n">
        <x:v>175</x:v>
      </x:c>
      <x:c r="L9" s="51" t="n">
        <x:f>K9-J9</x:f>
        <x:v>0</x:v>
      </x:c>
      <x:c r="M9" s="51" t="n">
        <x:v>10825</x:v>
      </x:c>
      <x:c r="N9" s="51" t="n">
        <x:v>10825</x:v>
      </x:c>
      <x:c r="O9" s="50" t="str">
        <x:v>exata_para_premissas</x:v>
      </x:c>
      <x:c r="P9" s="50" t="str">
        <x:v>rf_regressiva_2026</x:v>
      </x:c>
      <x:c r="Q9" s="53" t="b">
        <x:v>1</x:v>
      </x:c>
      <x:c r="R9" s="53" t="b">
        <x:v>1</x:v>
      </x:c>
      <x:c r="S9" s="50" t="str">
        <x:v>A legislação de 2026 foi mantida como hipótese até o resgate.</x:v>
      </x:c>
      <x:c r="T9" s="50" t="str">
        <x:v>IOF calculado antes do IR para prazos inferiores a 30 dias. | IR regressivo por prazo sobre o rendimento líquido de IOF.</x:v>
      </x:c>
      <x:c r="U9" s="50" t="str">
        <x:v>https://www.gov.br/receitafederal/pt-br/assuntos/meu-imposto-de-renda/tabelas/2026</x:v>
      </x:c>
      <x:c r="V9" s="52" t="n">
        <x:v>46023</x:v>
      </x:c>
    </x:row>
    <x:row r="10">
      <x:c r="A10" s="50" t="str">
        <x:v>cdb_721_dias</x:v>
      </x:c>
      <x:c r="B10" s="50" t="str">
        <x:v>renda_fixa</x:v>
      </x:c>
      <x:c r="C10" s="50" t="str">
        <x:v>PENDENTE_EVIDENCIA</x:v>
      </x:c>
      <x:c r="D10" s="50" t="str">
        <x:v>cdb</x:v>
      </x:c>
      <x:c r="E10" s="51" t="n">
        <x:v>10000</x:v>
      </x:c>
      <x:c r="F10" s="51" t="n">
        <x:v>11000</x:v>
      </x:c>
      <x:c r="G10" s="51" t="n">
        <x:f>MAX(0,F10-E10)</x:f>
        <x:v>1000</x:v>
      </x:c>
      <x:c r="H10" s="52" t="n">
        <x:v>46023</x:v>
      </x:c>
      <x:c r="I10" s="52" t="n">
        <x:v>46744</x:v>
      </x:c>
      <x:c r="J10" s="51" t="n">
        <x:v>150</x:v>
      </x:c>
      <x:c r="K10" s="51" t="n">
        <x:v>150</x:v>
      </x:c>
      <x:c r="L10" s="51" t="n">
        <x:f>K10-J10</x:f>
        <x:v>0</x:v>
      </x:c>
      <x:c r="M10" s="51" t="n">
        <x:v>10850</x:v>
      </x:c>
      <x:c r="N10" s="51" t="n">
        <x:v>10850</x:v>
      </x:c>
      <x:c r="O10" s="50" t="str">
        <x:v>exata_para_premissas</x:v>
      </x:c>
      <x:c r="P10" s="50" t="str">
        <x:v>rf_regressiva_2026</x:v>
      </x:c>
      <x:c r="Q10" s="53" t="b">
        <x:v>1</x:v>
      </x:c>
      <x:c r="R10" s="53" t="b">
        <x:v>1</x:v>
      </x:c>
      <x:c r="S10" s="50" t="str">
        <x:v>A legislação de 2026 foi mantida como hipótese até o resgate.</x:v>
      </x:c>
      <x:c r="T10" s="50" t="str">
        <x:v>IOF calculado antes do IR para prazos inferiores a 30 dias. | IR regressivo por prazo sobre o rendimento líquido de IOF.</x:v>
      </x:c>
      <x:c r="U10" s="50" t="str">
        <x:v>https://www.gov.br/receitafederal/pt-br/assuntos/meu-imposto-de-renda/tabelas/2026</x:v>
      </x:c>
      <x:c r="V10" s="52" t="n">
        <x:v>46023</x:v>
      </x:c>
    </x:row>
    <x:row r="11">
      <x:c r="A11" s="50" t="str">
        <x:v>lci_pessoa_fisica_isenta</x:v>
      </x:c>
      <x:c r="B11" s="50" t="str">
        <x:v>renda_fixa</x:v>
      </x:c>
      <x:c r="C11" s="50" t="str">
        <x:v>VALIDADO_CALCULO</x:v>
      </x:c>
      <x:c r="D11" s="50" t="str">
        <x:v>lci</x:v>
      </x:c>
      <x:c r="E11" s="51" t="n">
        <x:v>10000</x:v>
      </x:c>
      <x:c r="F11" s="51" t="n">
        <x:v>11000</x:v>
      </x:c>
      <x:c r="G11" s="51" t="n">
        <x:f>MAX(0,F11-E11)</x:f>
        <x:v>1000</x:v>
      </x:c>
      <x:c r="H11" s="52" t="n">
        <x:v>46023</x:v>
      </x:c>
      <x:c r="I11" s="52" t="n">
        <x:v>46204</x:v>
      </x:c>
      <x:c r="J11" s="51" t="n">
        <x:v>0</x:v>
      </x:c>
      <x:c r="K11" s="51" t="n">
        <x:v>0</x:v>
      </x:c>
      <x:c r="L11" s="51" t="n">
        <x:f>K11-J11</x:f>
        <x:v>0</x:v>
      </x:c>
      <x:c r="M11" s="51" t="n">
        <x:v>11000</x:v>
      </x:c>
      <x:c r="N11" s="51" t="n">
        <x:v>11000</x:v>
      </x:c>
      <x:c r="O11" s="50" t="str">
        <x:v>exata_para_premissas</x:v>
      </x:c>
      <x:c r="P11" s="50" t="str">
        <x:v>rf_isenta_pf_2026</x:v>
      </x:c>
      <x:c r="Q11" s="53" t="b">
        <x:v>1</x:v>
      </x:c>
      <x:c r="R11" s="53" t="b">
        <x:v>1</x:v>
      </x:c>
      <x:c r="S11" s="50" t="str"/>
      <x:c r="T11" s="50" t="str">
        <x:v>Isenção informada para pessoa física.</x:v>
      </x:c>
      <x:c r="U11" s="50" t="str">
        <x:v>https://www.planalto.gov.br/ccivil_03/_ato2004-2006/2004/lei/l11033compilado.htm</x:v>
      </x:c>
      <x:c r="V11" s="52" t="n">
        <x:v>46023</x:v>
      </x:c>
    </x:row>
    <x:row r="12">
      <x:c r="A12" s="50" t="str">
        <x:v>lca_pessoa_fisica_isenta</x:v>
      </x:c>
      <x:c r="B12" s="50" t="str">
        <x:v>renda_fixa</x:v>
      </x:c>
      <x:c r="C12" s="50" t="str">
        <x:v>PENDENTE_EVIDENCIA</x:v>
      </x:c>
      <x:c r="D12" s="50" t="str">
        <x:v>lca</x:v>
      </x:c>
      <x:c r="E12" s="51" t="n">
        <x:v>10000</x:v>
      </x:c>
      <x:c r="F12" s="51" t="n">
        <x:v>11000</x:v>
      </x:c>
      <x:c r="G12" s="51" t="n">
        <x:f>MAX(0,F12-E12)</x:f>
        <x:v>1000</x:v>
      </x:c>
      <x:c r="H12" s="52" t="n">
        <x:v>46023</x:v>
      </x:c>
      <x:c r="I12" s="52" t="n">
        <x:v>46744</x:v>
      </x:c>
      <x:c r="J12" s="51" t="n">
        <x:v>0</x:v>
      </x:c>
      <x:c r="K12" s="51" t="n">
        <x:v>0</x:v>
      </x:c>
      <x:c r="L12" s="51" t="n">
        <x:f>K12-J12</x:f>
        <x:v>0</x:v>
      </x:c>
      <x:c r="M12" s="51" t="n">
        <x:v>11000</x:v>
      </x:c>
      <x:c r="N12" s="51" t="n">
        <x:v>11000</x:v>
      </x:c>
      <x:c r="O12" s="50" t="str">
        <x:v>exata_para_premissas</x:v>
      </x:c>
      <x:c r="P12" s="50" t="str">
        <x:v>rf_isenta_pf_2026</x:v>
      </x:c>
      <x:c r="Q12" s="53" t="b">
        <x:v>1</x:v>
      </x:c>
      <x:c r="R12" s="53" t="b">
        <x:v>1</x:v>
      </x:c>
      <x:c r="S12" s="50" t="str">
        <x:v>A legislação de 2026 foi mantida como hipótese até o resgate.</x:v>
      </x:c>
      <x:c r="T12" s="50" t="str">
        <x:v>Isenção informada para pessoa física.</x:v>
      </x:c>
      <x:c r="U12" s="50" t="str">
        <x:v>https://www.planalto.gov.br/ccivil_03/_ato2004-2006/2004/lei/l11033compilado.htm</x:v>
      </x:c>
      <x:c r="V12" s="52" t="n">
        <x:v>46023</x:v>
      </x:c>
    </x:row>
    <x:row r="13">
      <x:c r="A13" s="50" t="str">
        <x:v>lci_pessoa_juridica_nao_isenta</x:v>
      </x:c>
      <x:c r="B13" s="50" t="str">
        <x:v>renda_fixa</x:v>
      </x:c>
      <x:c r="C13" s="50" t="str">
        <x:v>FORA_DO_ESCOPO</x:v>
      </x:c>
      <x:c r="D13" s="50" t="str">
        <x:v>lci</x:v>
      </x:c>
      <x:c r="E13" s="51" t="n">
        <x:v>10000</x:v>
      </x:c>
      <x:c r="F13" s="51" t="n">
        <x:v>11000</x:v>
      </x:c>
      <x:c r="G13" s="51" t="n">
        <x:f>MAX(0,F13-E13)</x:f>
        <x:v>1000</x:v>
      </x:c>
      <x:c r="H13" s="52" t="n">
        <x:v>46023</x:v>
      </x:c>
      <x:c r="I13" s="52" t="n">
        <x:v>46744</x:v>
      </x:c>
      <x:c r="J13" s="51"/>
      <x:c r="K13" s="51"/>
      <x:c r="L13" s="51" t="n">
        <x:f>K13-J13</x:f>
        <x:v>0</x:v>
      </x:c>
      <x:c r="M13" s="51"/>
      <x:c r="N13" s="51"/>
      <x:c r="O13" s="50" t="str">
        <x:v>indeterminada</x:v>
      </x:c>
      <x:c r="P13" s="50" t="str">
        <x:v>pessoa_juridica_fora_escopo</x:v>
      </x:c>
      <x:c r="Q13" s="53" t="b">
        <x:v>1</x:v>
      </x:c>
      <x:c r="R13" s="53" t="b">
        <x:v>1</x:v>
      </x:c>
      <x:c r="S13" s="50" t="str">
        <x:v>IRPJ e CSLL não pertencem ao escopo deste motor.</x:v>
      </x:c>
      <x:c r="T13" s="50" t="str">
        <x:v>Escopo declarado: pessoa física.</x:v>
      </x:c>
      <x:c r="U13" s="50" t="str">
        <x:v>https://www.gov.br/receitafederal/pt-br/assuntos/meu-imposto-de-renda/tabelas/2026</x:v>
      </x:c>
      <x:c r="V13" s="52" t="n">
        <x:v>46023</x:v>
      </x:c>
    </x:row>
    <x:row r="14">
      <x:c r="A14" s="50" t="str">
        <x:v>cdb_sem_ganho</x:v>
      </x:c>
      <x:c r="B14" s="50" t="str">
        <x:v>renda_fixa</x:v>
      </x:c>
      <x:c r="C14" s="50" t="str">
        <x:v>PENDENTE_EVIDENCIA</x:v>
      </x:c>
      <x:c r="D14" s="50" t="str">
        <x:v>cdb</x:v>
      </x:c>
      <x:c r="E14" s="51" t="n">
        <x:v>10000</x:v>
      </x:c>
      <x:c r="F14" s="51" t="n">
        <x:v>10000</x:v>
      </x:c>
      <x:c r="G14" s="51" t="n">
        <x:f>MAX(0,F14-E14)</x:f>
        <x:v>0</x:v>
      </x:c>
      <x:c r="H14" s="52" t="n">
        <x:v>46023</x:v>
      </x:c>
      <x:c r="I14" s="52" t="n">
        <x:v>46744</x:v>
      </x:c>
      <x:c r="J14" s="51" t="n">
        <x:v>0</x:v>
      </x:c>
      <x:c r="K14" s="51" t="n">
        <x:v>0</x:v>
      </x:c>
      <x:c r="L14" s="51" t="n">
        <x:f>K14-J14</x:f>
        <x:v>0</x:v>
      </x:c>
      <x:c r="M14" s="51" t="n">
        <x:v>10000</x:v>
      </x:c>
      <x:c r="N14" s="51" t="n">
        <x:v>10000</x:v>
      </x:c>
      <x:c r="O14" s="50" t="str">
        <x:v>exata_para_premissas</x:v>
      </x:c>
      <x:c r="P14" s="50" t="str">
        <x:v>rf_regressiva_2026</x:v>
      </x:c>
      <x:c r="Q14" s="53" t="b">
        <x:v>1</x:v>
      </x:c>
      <x:c r="R14" s="53" t="b">
        <x:v>1</x:v>
      </x:c>
      <x:c r="S14" s="50" t="str">
        <x:v>A legislação de 2026 foi mantida como hipótese até o resgate.</x:v>
      </x:c>
      <x:c r="T14" s="50" t="str">
        <x:v>IOF calculado antes do IR para prazos inferiores a 30 dias. | IR regressivo por prazo sobre o rendimento líquido de IOF.</x:v>
      </x:c>
      <x:c r="U14" s="50" t="str">
        <x:v>https://www.gov.br/receitafederal/pt-br/assuntos/meu-imposto-de-renda/tabelas/2026</x:v>
      </x:c>
      <x:c r="V14" s="52" t="n">
        <x:v>46023</x:v>
      </x:c>
    </x:row>
    <x:row r="15">
      <x:c r="A15" s="50" t="str">
        <x:v>fundo_curto_10_dias_com_iof</x:v>
      </x:c>
      <x:c r="B15" s="50" t="str">
        <x:v>fundos</x:v>
      </x:c>
      <x:c r="C15" s="50" t="str">
        <x:v>VALIDADO_CALCULO</x:v>
      </x:c>
      <x:c r="D15" s="50" t="str">
        <x:v>fundo_curto_prazo</x:v>
      </x:c>
      <x:c r="E15" s="51" t="n">
        <x:v>10000</x:v>
      </x:c>
      <x:c r="F15" s="51" t="n">
        <x:v>11000</x:v>
      </x:c>
      <x:c r="G15" s="51" t="n">
        <x:f>MAX(0,F15-E15)</x:f>
        <x:v>1000</x:v>
      </x:c>
      <x:c r="H15" s="52" t="n">
        <x:v>46023</x:v>
      </x:c>
      <x:c r="I15" s="52" t="n">
        <x:v>46033</x:v>
      </x:c>
      <x:c r="J15" s="51" t="n">
        <x:v>736.5</x:v>
      </x:c>
      <x:c r="K15" s="51" t="n">
        <x:v>736.5</x:v>
      </x:c>
      <x:c r="L15" s="51" t="n">
        <x:f>K15-J15</x:f>
        <x:v>0</x:v>
      </x:c>
      <x:c r="M15" s="51" t="n">
        <x:v>10263.5</x:v>
      </x:c>
      <x:c r="N15" s="51" t="n">
        <x:v>10263.5</x:v>
      </x:c>
      <x:c r="O15" s="50" t="str">
        <x:v>estimada</x:v>
      </x:c>
      <x:c r="P15" s="50" t="str">
        <x:v>fundo_curto_prazo_2026</x:v>
      </x:c>
      <x:c r="Q15" s="53" t="b">
        <x:v>1</x:v>
      </x:c>
      <x:c r="R15" s="53" t="b">
        <x:v>1</x:v>
      </x:c>
      <x:c r="S15" s="50" t="str"/>
      <x:c r="T15" s="50" t="str">
        <x:v>IOF calculado antes do IR quando o prazo é inferior a 30 dias. | Come-cotas informado reduz somente o IR adicional no resgate.</x:v>
      </x:c>
      <x:c r="U15" s="50" t="str">
        <x:v>https://www.gov.br/receitafederal/pt-br/assuntos/meu-imposto-de-renda/pagamento/renda-variavel/fundos-de-investimento-no-brasil</x:v>
      </x:c>
      <x:c r="V15" s="52" t="n">
        <x:v>46023</x:v>
      </x:c>
    </x:row>
    <x:row r="16">
      <x:c r="A16" s="50" t="str">
        <x:v>fundo_curto_180_dias</x:v>
      </x:c>
      <x:c r="B16" s="50" t="str">
        <x:v>fundos</x:v>
      </x:c>
      <x:c r="C16" s="50" t="str">
        <x:v>VALIDADO_CALCULO</x:v>
      </x:c>
      <x:c r="D16" s="50" t="str">
        <x:v>fundo_curto_prazo</x:v>
      </x:c>
      <x:c r="E16" s="51" t="n">
        <x:v>10000</x:v>
      </x:c>
      <x:c r="F16" s="51" t="n">
        <x:v>11000</x:v>
      </x:c>
      <x:c r="G16" s="51" t="n">
        <x:f>MAX(0,F16-E16)</x:f>
        <x:v>1000</x:v>
      </x:c>
      <x:c r="H16" s="52" t="n">
        <x:v>46023</x:v>
      </x:c>
      <x:c r="I16" s="52" t="n">
        <x:v>46203</x:v>
      </x:c>
      <x:c r="J16" s="51" t="n">
        <x:v>225</x:v>
      </x:c>
      <x:c r="K16" s="51" t="n">
        <x:v>225</x:v>
      </x:c>
      <x:c r="L16" s="51" t="n">
        <x:f>K16-J16</x:f>
        <x:v>0</x:v>
      </x:c>
      <x:c r="M16" s="51" t="n">
        <x:v>10775</x:v>
      </x:c>
      <x:c r="N16" s="51" t="n">
        <x:v>10775</x:v>
      </x:c>
      <x:c r="O16" s="50" t="str">
        <x:v>estimada</x:v>
      </x:c>
      <x:c r="P16" s="50" t="str">
        <x:v>fundo_curto_prazo_2026</x:v>
      </x:c>
      <x:c r="Q16" s="53" t="b">
        <x:v>1</x:v>
      </x:c>
      <x:c r="R16" s="53" t="b">
        <x:v>1</x:v>
      </x:c>
      <x:c r="S16" s="50" t="str"/>
      <x:c r="T16" s="50" t="str">
        <x:v>IOF calculado antes do IR quando o prazo é inferior a 30 dias. | Come-cotas informado reduz somente o IR adicional no resgate.</x:v>
      </x:c>
      <x:c r="U16" s="50" t="str">
        <x:v>https://www.gov.br/receitafederal/pt-br/assuntos/meu-imposto-de-renda/pagamento/renda-variavel/fundos-de-investimento-no-brasil</x:v>
      </x:c>
      <x:c r="V16" s="52" t="n">
        <x:v>46023</x:v>
      </x:c>
    </x:row>
    <x:row r="17">
      <x:c r="A17" s="50" t="str">
        <x:v>fundo_curto_181_dias</x:v>
      </x:c>
      <x:c r="B17" s="50" t="str">
        <x:v>fundos</x:v>
      </x:c>
      <x:c r="C17" s="50" t="str">
        <x:v>VALIDADO_CALCULO</x:v>
      </x:c>
      <x:c r="D17" s="50" t="str">
        <x:v>fundo_curto_prazo</x:v>
      </x:c>
      <x:c r="E17" s="51" t="n">
        <x:v>10000</x:v>
      </x:c>
      <x:c r="F17" s="51" t="n">
        <x:v>11000</x:v>
      </x:c>
      <x:c r="G17" s="51" t="n">
        <x:f>MAX(0,F17-E17)</x:f>
        <x:v>1000</x:v>
      </x:c>
      <x:c r="H17" s="52" t="n">
        <x:v>46023</x:v>
      </x:c>
      <x:c r="I17" s="52" t="n">
        <x:v>46204</x:v>
      </x:c>
      <x:c r="J17" s="51" t="n">
        <x:v>200</x:v>
      </x:c>
      <x:c r="K17" s="51" t="n">
        <x:v>200</x:v>
      </x:c>
      <x:c r="L17" s="51" t="n">
        <x:f>K17-J17</x:f>
        <x:v>0</x:v>
      </x:c>
      <x:c r="M17" s="51" t="n">
        <x:v>10800</x:v>
      </x:c>
      <x:c r="N17" s="51" t="n">
        <x:v>10800</x:v>
      </x:c>
      <x:c r="O17" s="50" t="str">
        <x:v>estimada</x:v>
      </x:c>
      <x:c r="P17" s="50" t="str">
        <x:v>fundo_curto_prazo_2026</x:v>
      </x:c>
      <x:c r="Q17" s="53" t="b">
        <x:v>1</x:v>
      </x:c>
      <x:c r="R17" s="53" t="b">
        <x:v>1</x:v>
      </x:c>
      <x:c r="S17" s="50" t="str"/>
      <x:c r="T17" s="50" t="str">
        <x:v>IOF calculado antes do IR quando o prazo é inferior a 30 dias. | Come-cotas informado reduz somente o IR adicional no resgate.</x:v>
      </x:c>
      <x:c r="U17" s="50" t="str">
        <x:v>https://www.gov.br/receitafederal/pt-br/assuntos/meu-imposto-de-renda/pagamento/renda-variavel/fundos-de-investimento-no-brasil</x:v>
      </x:c>
      <x:c r="V17" s="52" t="n">
        <x:v>46023</x:v>
      </x:c>
    </x:row>
    <x:row r="18">
      <x:c r="A18" s="50" t="str">
        <x:v>fundo_longo_180_dias</x:v>
      </x:c>
      <x:c r="B18" s="50" t="str">
        <x:v>fundos</x:v>
      </x:c>
      <x:c r="C18" s="50" t="str">
        <x:v>VALIDADO_CALCULO</x:v>
      </x:c>
      <x:c r="D18" s="50" t="str">
        <x:v>fundo_longo_prazo</x:v>
      </x:c>
      <x:c r="E18" s="51" t="n">
        <x:v>10000</x:v>
      </x:c>
      <x:c r="F18" s="51" t="n">
        <x:v>11000</x:v>
      </x:c>
      <x:c r="G18" s="51" t="n">
        <x:f>MAX(0,F18-E18)</x:f>
        <x:v>1000</x:v>
      </x:c>
      <x:c r="H18" s="52" t="n">
        <x:v>46023</x:v>
      </x:c>
      <x:c r="I18" s="52" t="n">
        <x:v>46203</x:v>
      </x:c>
      <x:c r="J18" s="51" t="n">
        <x:v>225</x:v>
      </x:c>
      <x:c r="K18" s="51" t="n">
        <x:v>225</x:v>
      </x:c>
      <x:c r="L18" s="51" t="n">
        <x:f>K18-J18</x:f>
        <x:v>0</x:v>
      </x:c>
      <x:c r="M18" s="51" t="n">
        <x:v>10775</x:v>
      </x:c>
      <x:c r="N18" s="51" t="n">
        <x:v>10775</x:v>
      </x:c>
      <x:c r="O18" s="50" t="str">
        <x:v>estimada</x:v>
      </x:c>
      <x:c r="P18" s="50" t="str">
        <x:v>fundo_longo_prazo_2026</x:v>
      </x:c>
      <x:c r="Q18" s="53" t="b">
        <x:v>1</x:v>
      </x:c>
      <x:c r="R18" s="53" t="b">
        <x:v>1</x:v>
      </x:c>
      <x:c r="S18" s="50" t="str"/>
      <x:c r="T18" s="50" t="str">
        <x:v>IOF calculado antes do IR quando o prazo é inferior a 30 dias. | Come-cotas informado reduz somente o IR adicional no resgate.</x:v>
      </x:c>
      <x:c r="U18" s="50" t="str">
        <x:v>https://www.gov.br/receitafederal/pt-br/assuntos/meu-imposto-de-renda/pagamento/renda-variavel/fundos-de-investimento-no-brasil</x:v>
      </x:c>
      <x:c r="V18" s="52" t="n">
        <x:v>46023</x:v>
      </x:c>
    </x:row>
    <x:row r="19">
      <x:c r="A19" s="50" t="str">
        <x:v>fundo_longo_181_dias</x:v>
      </x:c>
      <x:c r="B19" s="50" t="str">
        <x:v>fundos</x:v>
      </x:c>
      <x:c r="C19" s="50" t="str">
        <x:v>VALIDADO_CALCULO</x:v>
      </x:c>
      <x:c r="D19" s="50" t="str">
        <x:v>fundo_longo_prazo</x:v>
      </x:c>
      <x:c r="E19" s="51" t="n">
        <x:v>10000</x:v>
      </x:c>
      <x:c r="F19" s="51" t="n">
        <x:v>11000</x:v>
      </x:c>
      <x:c r="G19" s="51" t="n">
        <x:f>MAX(0,F19-E19)</x:f>
        <x:v>1000</x:v>
      </x:c>
      <x:c r="H19" s="52" t="n">
        <x:v>46023</x:v>
      </x:c>
      <x:c r="I19" s="52" t="n">
        <x:v>46204</x:v>
      </x:c>
      <x:c r="J19" s="51" t="n">
        <x:v>200</x:v>
      </x:c>
      <x:c r="K19" s="51" t="n">
        <x:v>200</x:v>
      </x:c>
      <x:c r="L19" s="51" t="n">
        <x:f>K19-J19</x:f>
        <x:v>0</x:v>
      </x:c>
      <x:c r="M19" s="51" t="n">
        <x:v>10800</x:v>
      </x:c>
      <x:c r="N19" s="51" t="n">
        <x:v>10800</x:v>
      </x:c>
      <x:c r="O19" s="50" t="str">
        <x:v>estimada</x:v>
      </x:c>
      <x:c r="P19" s="50" t="str">
        <x:v>fundo_longo_prazo_2026</x:v>
      </x:c>
      <x:c r="Q19" s="53" t="b">
        <x:v>1</x:v>
      </x:c>
      <x:c r="R19" s="53" t="b">
        <x:v>1</x:v>
      </x:c>
      <x:c r="S19" s="50" t="str"/>
      <x:c r="T19" s="50" t="str">
        <x:v>IOF calculado antes do IR quando o prazo é inferior a 30 dias. | Come-cotas informado reduz somente o IR adicional no resgate.</x:v>
      </x:c>
      <x:c r="U19" s="50" t="str">
        <x:v>https://www.gov.br/receitafederal/pt-br/assuntos/meu-imposto-de-renda/pagamento/renda-variavel/fundos-de-investimento-no-brasil</x:v>
      </x:c>
      <x:c r="V19" s="52" t="n">
        <x:v>46023</x:v>
      </x:c>
    </x:row>
    <x:row r="20">
      <x:c r="A20" s="50" t="str">
        <x:v>fundo_longo_361_dias</x:v>
      </x:c>
      <x:c r="B20" s="50" t="str">
        <x:v>fundos</x:v>
      </x:c>
      <x:c r="C20" s="50" t="str">
        <x:v>VALIDADO_CALCULO</x:v>
      </x:c>
      <x:c r="D20" s="50" t="str">
        <x:v>fundo_longo_prazo</x:v>
      </x:c>
      <x:c r="E20" s="51" t="n">
        <x:v>10000</x:v>
      </x:c>
      <x:c r="F20" s="51" t="n">
        <x:v>11000</x:v>
      </x:c>
      <x:c r="G20" s="51" t="n">
        <x:f>MAX(0,F20-E20)</x:f>
        <x:v>1000</x:v>
      </x:c>
      <x:c r="H20" s="52" t="n">
        <x:v>46023</x:v>
      </x:c>
      <x:c r="I20" s="52" t="n">
        <x:v>46384</x:v>
      </x:c>
      <x:c r="J20" s="51" t="n">
        <x:v>175</x:v>
      </x:c>
      <x:c r="K20" s="51" t="n">
        <x:v>175</x:v>
      </x:c>
      <x:c r="L20" s="51" t="n">
        <x:f>K20-J20</x:f>
        <x:v>0</x:v>
      </x:c>
      <x:c r="M20" s="51" t="n">
        <x:v>10825</x:v>
      </x:c>
      <x:c r="N20" s="51" t="n">
        <x:v>10825</x:v>
      </x:c>
      <x:c r="O20" s="50" t="str">
        <x:v>estimada</x:v>
      </x:c>
      <x:c r="P20" s="50" t="str">
        <x:v>fundo_longo_prazo_2026</x:v>
      </x:c>
      <x:c r="Q20" s="53" t="b">
        <x:v>1</x:v>
      </x:c>
      <x:c r="R20" s="53" t="b">
        <x:v>1</x:v>
      </x:c>
      <x:c r="S20" s="50" t="str"/>
      <x:c r="T20" s="50" t="str">
        <x:v>IOF calculado antes do IR quando o prazo é inferior a 30 dias. | Come-cotas informado reduz somente o IR adicional no resgate.</x:v>
      </x:c>
      <x:c r="U20" s="50" t="str">
        <x:v>https://www.gov.br/receitafederal/pt-br/assuntos/meu-imposto-de-renda/pagamento/renda-variavel/fundos-de-investimento-no-brasil</x:v>
      </x:c>
      <x:c r="V20" s="52" t="n">
        <x:v>46023</x:v>
      </x:c>
    </x:row>
    <x:row r="21">
      <x:c r="A21" s="50" t="str">
        <x:v>fundo_longo_721_dias</x:v>
      </x:c>
      <x:c r="B21" s="50" t="str">
        <x:v>fundos</x:v>
      </x:c>
      <x:c r="C21" s="50" t="str">
        <x:v>PENDENTE_EVIDENCIA</x:v>
      </x:c>
      <x:c r="D21" s="50" t="str">
        <x:v>fundo_longo_prazo</x:v>
      </x:c>
      <x:c r="E21" s="51" t="n">
        <x:v>10000</x:v>
      </x:c>
      <x:c r="F21" s="51" t="n">
        <x:v>11000</x:v>
      </x:c>
      <x:c r="G21" s="51" t="n">
        <x:f>MAX(0,F21-E21)</x:f>
        <x:v>1000</x:v>
      </x:c>
      <x:c r="H21" s="52" t="n">
        <x:v>46023</x:v>
      </x:c>
      <x:c r="I21" s="52" t="n">
        <x:v>46744</x:v>
      </x:c>
      <x:c r="J21" s="51" t="n">
        <x:v>150</x:v>
      </x:c>
      <x:c r="K21" s="51" t="n">
        <x:v>150</x:v>
      </x:c>
      <x:c r="L21" s="51" t="n">
        <x:f>K21-J21</x:f>
        <x:v>0</x:v>
      </x:c>
      <x:c r="M21" s="51" t="n">
        <x:v>10850</x:v>
      </x:c>
      <x:c r="N21" s="51" t="n">
        <x:v>10850</x:v>
      </x:c>
      <x:c r="O21" s="50" t="str">
        <x:v>estimada</x:v>
      </x:c>
      <x:c r="P21" s="50" t="str">
        <x:v>fundo_longo_prazo_2026</x:v>
      </x:c>
      <x:c r="Q21" s="53" t="b">
        <x:v>1</x:v>
      </x:c>
      <x:c r="R21" s="53" t="b">
        <x:v>1</x:v>
      </x:c>
      <x:c r="S21" s="50" t="str">
        <x:v>A legislação de 2026 foi mantida como hipótese até o resgate.</x:v>
      </x:c>
      <x:c r="T21" s="50" t="str">
        <x:v>IOF calculado antes do IR quando o prazo é inferior a 30 dias. | Come-cotas informado reduz somente o IR adicional no resgate.</x:v>
      </x:c>
      <x:c r="U21" s="50" t="str">
        <x:v>https://www.gov.br/receitafederal/pt-br/assuntos/meu-imposto-de-renda/pagamento/renda-variavel/fundos-de-investimento-no-brasil</x:v>
      </x:c>
      <x:c r="V21" s="52" t="n">
        <x:v>46023</x:v>
      </x:c>
    </x:row>
    <x:row r="22">
      <x:c r="A22" s="50" t="str">
        <x:v>fundo_rf_721_dias</x:v>
      </x:c>
      <x:c r="B22" s="50" t="str">
        <x:v>fundos</x:v>
      </x:c>
      <x:c r="C22" s="50" t="str">
        <x:v>PENDENTE_EVIDENCIA</x:v>
      </x:c>
      <x:c r="D22" s="50" t="str">
        <x:v>fundo_rf</x:v>
      </x:c>
      <x:c r="E22" s="51" t="n">
        <x:v>10000</x:v>
      </x:c>
      <x:c r="F22" s="51" t="n">
        <x:v>11000</x:v>
      </x:c>
      <x:c r="G22" s="51" t="n">
        <x:f>MAX(0,F22-E22)</x:f>
        <x:v>1000</x:v>
      </x:c>
      <x:c r="H22" s="52" t="n">
        <x:v>46023</x:v>
      </x:c>
      <x:c r="I22" s="52" t="n">
        <x:v>46744</x:v>
      </x:c>
      <x:c r="J22" s="51" t="n">
        <x:v>150</x:v>
      </x:c>
      <x:c r="K22" s="51" t="n">
        <x:v>150</x:v>
      </x:c>
      <x:c r="L22" s="51" t="n">
        <x:f>K22-J22</x:f>
        <x:v>0</x:v>
      </x:c>
      <x:c r="M22" s="51" t="n">
        <x:v>10850</x:v>
      </x:c>
      <x:c r="N22" s="51" t="n">
        <x:v>10850</x:v>
      </x:c>
      <x:c r="O22" s="50" t="str">
        <x:v>estimada</x:v>
      </x:c>
      <x:c r="P22" s="50" t="str">
        <x:v>fundo_rf_2026</x:v>
      </x:c>
      <x:c r="Q22" s="53" t="b">
        <x:v>1</x:v>
      </x:c>
      <x:c r="R22" s="53" t="b">
        <x:v>1</x:v>
      </x:c>
      <x:c r="S22" s="50" t="str">
        <x:v>A legislação de 2026 foi mantida como hipótese até o resgate. | Fundo RF genérico foi tratado como fundo de longo prazo.</x:v>
      </x:c>
      <x:c r="T22" s="50" t="str">
        <x:v>IOF calculado antes do IR quando o prazo é inferior a 30 dias. | Come-cotas informado reduz somente o IR adicional no resgate.</x:v>
      </x:c>
      <x:c r="U22" s="50" t="str">
        <x:v>https://www.gov.br/receitafederal/pt-br/assuntos/meu-imposto-de-renda/pagamento/renda-variavel/fundos-de-investimento-no-brasil</x:v>
      </x:c>
      <x:c r="V22" s="52" t="n">
        <x:v>46023</x:v>
      </x:c>
    </x:row>
    <x:row r="23">
      <x:c r="A23" s="50" t="str">
        <x:v>fundo_longo_com_come_cotas_parcial</x:v>
      </x:c>
      <x:c r="B23" s="50" t="str">
        <x:v>fundos</x:v>
      </x:c>
      <x:c r="C23" s="50" t="str">
        <x:v>PENDENTE_EVIDENCIA</x:v>
      </x:c>
      <x:c r="D23" s="50" t="str">
        <x:v>fundo_longo_prazo</x:v>
      </x:c>
      <x:c r="E23" s="51" t="n">
        <x:v>10000</x:v>
      </x:c>
      <x:c r="F23" s="51" t="n">
        <x:v>11000</x:v>
      </x:c>
      <x:c r="G23" s="51" t="n">
        <x:f>MAX(0,F23-E23)</x:f>
        <x:v>1000</x:v>
      </x:c>
      <x:c r="H23" s="52" t="n">
        <x:v>46023</x:v>
      </x:c>
      <x:c r="I23" s="52" t="n">
        <x:v>46744</x:v>
      </x:c>
      <x:c r="J23" s="51" t="n">
        <x:v>50</x:v>
      </x:c>
      <x:c r="K23" s="51" t="n">
        <x:v>50</x:v>
      </x:c>
      <x:c r="L23" s="51" t="n">
        <x:f>K23-J23</x:f>
        <x:v>0</x:v>
      </x:c>
      <x:c r="M23" s="51" t="n">
        <x:v>10950</x:v>
      </x:c>
      <x:c r="N23" s="51" t="n">
        <x:v>10950</x:v>
      </x:c>
      <x:c r="O23" s="50" t="str">
        <x:v>estimada</x:v>
      </x:c>
      <x:c r="P23" s="50" t="str">
        <x:v>fundo_longo_prazo_2026</x:v>
      </x:c>
      <x:c r="Q23" s="53" t="b">
        <x:v>1</x:v>
      </x:c>
      <x:c r="R23" s="53" t="b">
        <x:v>1</x:v>
      </x:c>
      <x:c r="S23" s="50" t="str">
        <x:v>A legislação de 2026 foi mantida como hipótese até o resgate. | Come-cotas foi aceito como total informado, sem reconstrução de cotas.</x:v>
      </x:c>
      <x:c r="T23" s="50" t="str">
        <x:v>IOF calculado antes do IR quando o prazo é inferior a 30 dias. | Come-cotas informado reduz somente o IR adicional no resgate.</x:v>
      </x:c>
      <x:c r="U23" s="50" t="str">
        <x:v>https://www.gov.br/receitafederal/pt-br/assuntos/meu-imposto-de-renda/pagamento/renda-variavel/fundos-de-investimento-no-brasil</x:v>
      </x:c>
      <x:c r="V23" s="52" t="n">
        <x:v>46023</x:v>
      </x:c>
    </x:row>
    <x:row r="24">
      <x:c r="A24" s="50" t="str">
        <x:v>fundo_longo_come_cotas_superior_imposto_final</x:v>
      </x:c>
      <x:c r="B24" s="50" t="str">
        <x:v>fundos</x:v>
      </x:c>
      <x:c r="C24" s="50" t="str">
        <x:v>PENDENTE_EVIDENCIA</x:v>
      </x:c>
      <x:c r="D24" s="50" t="str">
        <x:v>fundo_longo_prazo</x:v>
      </x:c>
      <x:c r="E24" s="51" t="n">
        <x:v>10000</x:v>
      </x:c>
      <x:c r="F24" s="51" t="n">
        <x:v>11000</x:v>
      </x:c>
      <x:c r="G24" s="51" t="n">
        <x:f>MAX(0,F24-E24)</x:f>
        <x:v>1000</x:v>
      </x:c>
      <x:c r="H24" s="52" t="n">
        <x:v>46023</x:v>
      </x:c>
      <x:c r="I24" s="52" t="n">
        <x:v>46744</x:v>
      </x:c>
      <x:c r="J24" s="51" t="n">
        <x:v>0</x:v>
      </x:c>
      <x:c r="K24" s="51" t="n">
        <x:v>0</x:v>
      </x:c>
      <x:c r="L24" s="51" t="n">
        <x:f>K24-J24</x:f>
        <x:v>0</x:v>
      </x:c>
      <x:c r="M24" s="51" t="n">
        <x:v>11000</x:v>
      </x:c>
      <x:c r="N24" s="51" t="n">
        <x:v>11000</x:v>
      </x:c>
      <x:c r="O24" s="50" t="str">
        <x:v>estimada</x:v>
      </x:c>
      <x:c r="P24" s="50" t="str">
        <x:v>fundo_longo_prazo_2026</x:v>
      </x:c>
      <x:c r="Q24" s="53" t="b">
        <x:v>1</x:v>
      </x:c>
      <x:c r="R24" s="53" t="b">
        <x:v>1</x:v>
      </x:c>
      <x:c r="S24" s="50" t="str">
        <x:v>A legislação de 2026 foi mantida como hipótese até o resgate. | Come-cotas foi aceito como total informado, sem reconstrução de cotas.</x:v>
      </x:c>
      <x:c r="T24" s="50" t="str">
        <x:v>IOF calculado antes do IR quando o prazo é inferior a 30 dias. | Come-cotas informado reduz somente o IR adicional no resgate.</x:v>
      </x:c>
      <x:c r="U24" s="50" t="str">
        <x:v>https://www.gov.br/receitafederal/pt-br/assuntos/meu-imposto-de-renda/pagamento/renda-variavel/fundos-de-investimento-no-brasil</x:v>
      </x:c>
      <x:c r="V24" s="52" t="n">
        <x:v>46023</x:v>
      </x:c>
    </x:row>
    <x:row r="25">
      <x:c r="A25" s="50" t="str">
        <x:v>fundo_acoes_15_porcento</x:v>
      </x:c>
      <x:c r="B25" s="50" t="str">
        <x:v>fundos</x:v>
      </x:c>
      <x:c r="C25" s="50" t="str">
        <x:v>VALIDADO_CALCULO</x:v>
      </x:c>
      <x:c r="D25" s="50" t="str">
        <x:v>fundo_acoes</x:v>
      </x:c>
      <x:c r="E25" s="51" t="n">
        <x:v>10000</x:v>
      </x:c>
      <x:c r="F25" s="51" t="n">
        <x:v>11000</x:v>
      </x:c>
      <x:c r="G25" s="51" t="n">
        <x:f>MAX(0,F25-E25)</x:f>
        <x:v>1000</x:v>
      </x:c>
      <x:c r="H25" s="52" t="n">
        <x:v>46023</x:v>
      </x:c>
      <x:c r="I25" s="52" t="n">
        <x:v>46204</x:v>
      </x:c>
      <x:c r="J25" s="51" t="n">
        <x:v>150</x:v>
      </x:c>
      <x:c r="K25" s="51" t="n">
        <x:v>150</x:v>
      </x:c>
      <x:c r="L25" s="51" t="n">
        <x:f>K25-J25</x:f>
        <x:v>0</x:v>
      </x:c>
      <x:c r="M25" s="51" t="n">
        <x:v>10850</x:v>
      </x:c>
      <x:c r="N25" s="51" t="n">
        <x:v>10850</x:v>
      </x:c>
      <x:c r="O25" s="50" t="str">
        <x:v>estimada</x:v>
      </x:c>
      <x:c r="P25" s="50" t="str">
        <x:v>fundo_acoes_2026</x:v>
      </x:c>
      <x:c r="Q25" s="53" t="b">
        <x:v>1</x:v>
      </x:c>
      <x:c r="R25" s="53" t="b">
        <x:v>1</x:v>
      </x:c>
      <x:c r="S25" s="50" t="str"/>
      <x:c r="T25" s="50" t="str">
        <x:v>Alíquota de 15% para fundo de ações informado.</x:v>
      </x:c>
      <x:c r="U25" s="50" t="str">
        <x:v>https://www.gov.br/receitafederal/pt-br/assuntos/meu-imposto-de-renda/pagamento/renda-variavel/fundos-de-investimento-no-brasil</x:v>
      </x:c>
      <x:c r="V25" s="52" t="n">
        <x:v>46023</x:v>
      </x:c>
    </x:row>
    <x:row r="26">
      <x:c r="A26" s="50" t="str">
        <x:v>fundo_etf_acoes_15_porcento</x:v>
      </x:c>
      <x:c r="B26" s="50" t="str">
        <x:v>fundos</x:v>
      </x:c>
      <x:c r="C26" s="50" t="str">
        <x:v>PENDENTE_EVIDENCIA</x:v>
      </x:c>
      <x:c r="D26" s="50" t="str">
        <x:v>fundo_etf_acoes</x:v>
      </x:c>
      <x:c r="E26" s="51" t="n">
        <x:v>10000</x:v>
      </x:c>
      <x:c r="F26" s="51" t="n">
        <x:v>11000</x:v>
      </x:c>
      <x:c r="G26" s="51" t="n">
        <x:f>MAX(0,F26-E26)</x:f>
        <x:v>1000</x:v>
      </x:c>
      <x:c r="H26" s="52" t="n">
        <x:v>46023</x:v>
      </x:c>
      <x:c r="I26" s="52" t="n">
        <x:v>46204</x:v>
      </x:c>
      <x:c r="J26" s="51" t="n">
        <x:v>150</x:v>
      </x:c>
      <x:c r="K26" s="51" t="n">
        <x:v>150</x:v>
      </x:c>
      <x:c r="L26" s="51" t="n">
        <x:f>K26-J26</x:f>
        <x:v>0</x:v>
      </x:c>
      <x:c r="M26" s="51" t="n">
        <x:v>10850</x:v>
      </x:c>
      <x:c r="N26" s="51" t="n">
        <x:v>10850</x:v>
      </x:c>
      <x:c r="O26" s="50" t="str">
        <x:v>estimada</x:v>
      </x:c>
      <x:c r="P26" s="50" t="str">
        <x:v>fundo_acoes_2026</x:v>
      </x:c>
      <x:c r="Q26" s="53" t="b">
        <x:v>1</x:v>
      </x:c>
      <x:c r="R26" s="53" t="b">
        <x:v>1</x:v>
      </x:c>
      <x:c r="S26" s="50" t="str">
        <x:v>A classificação concreta do ETF como fundo de ações deve ser confirmada.</x:v>
      </x:c>
      <x:c r="T26" s="50" t="str">
        <x:v>Alíquota de 15% para fundo de ações informado.</x:v>
      </x:c>
      <x:c r="U26" s="50" t="str">
        <x:v>https://www.gov.br/receitafederal/pt-br/assuntos/meu-imposto-de-renda/pagamento/renda-variavel/fundos-de-investimento-no-brasil</x:v>
      </x:c>
      <x:c r="V26" s="52" t="n">
        <x:v>46023</x:v>
      </x:c>
    </x:row>
    <x:row r="27">
      <x:c r="A27" s="50" t="str">
        <x:v>pgbl_regressivo_ate_2_anos</x:v>
      </x:c>
      <x:c r="B27" s="50" t="str">
        <x:v>previdencia</x:v>
      </x:c>
      <x:c r="C27" s="50" t="str">
        <x:v>PENDENTE_EVIDENCIA</x:v>
      </x:c>
      <x:c r="D27" s="50" t="str">
        <x:v>pgbl</x:v>
      </x:c>
      <x:c r="E27" s="51" t="n">
        <x:v>10000</x:v>
      </x:c>
      <x:c r="F27" s="51" t="n">
        <x:v>11000</x:v>
      </x:c>
      <x:c r="G27" s="51" t="n">
        <x:f>MAX(0,F27-E27)</x:f>
        <x:v>1000</x:v>
      </x:c>
      <x:c r="H27" s="52" t="n">
        <x:v>46023</x:v>
      </x:c>
      <x:c r="I27" s="52" t="n">
        <x:v>46753</x:v>
      </x:c>
      <x:c r="J27" s="51" t="n">
        <x:v>3849.9999999999995</x:v>
      </x:c>
      <x:c r="K27" s="51" t="n">
        <x:v>3849.9999999999995</x:v>
      </x:c>
      <x:c r="L27" s="51" t="n">
        <x:f>K27-J27</x:f>
        <x:v>0</x:v>
      </x:c>
      <x:c r="M27" s="51" t="n">
        <x:v>7150</x:v>
      </x:c>
      <x:c r="N27" s="51" t="n">
        <x:v>7150</x:v>
      </x:c>
      <x:c r="O27" s="50" t="str">
        <x:v>estimada</x:v>
      </x:c>
      <x:c r="P27" s="50" t="str">
        <x:v>pgbl_regressivo_2026</x:v>
      </x:c>
      <x:c r="Q27" s="53" t="b">
        <x:v>1</x:v>
      </x:c>
      <x:c r="R27" s="53" t="b">
        <x:v>1</x:v>
      </x:c>
      <x:c r="S27" s="50" t="str">
        <x:v>A legislação de 2026 foi mantida como hipótese até o resgate. | Todo o saldo foi tratado como um lote com uma única idade.</x:v>
      </x:c>
      <x:c r="T27" s="50" t="str">
        <x:v>PGBL sobre o saldo total; VGBL apenas sobre o rendimento. | Tabela regressiva aplicada pela idade do lote simplificado.</x:v>
      </x:c>
      <x:c r="U27" s="50" t="str">
        <x:v>https://www.gov.br/previdencia/pt-br/assuntos/previdencia-complementar/mais-informacoes/perguntas-frequentes-de-previdencia-complementar</x:v>
      </x:c>
      <x:c r="V27" s="52" t="n">
        <x:v>46023</x:v>
      </x:c>
    </x:row>
    <x:row r="28">
      <x:c r="A28" s="50" t="str">
        <x:v>pgbl_regressivo_acima_2_anos</x:v>
      </x:c>
      <x:c r="B28" s="50" t="str">
        <x:v>previdencia</x:v>
      </x:c>
      <x:c r="C28" s="50" t="str">
        <x:v>PENDENTE_EVIDENCIA</x:v>
      </x:c>
      <x:c r="D28" s="50" t="str">
        <x:v>pgbl</x:v>
      </x:c>
      <x:c r="E28" s="51" t="n">
        <x:v>10000</x:v>
      </x:c>
      <x:c r="F28" s="51" t="n">
        <x:v>11000</x:v>
      </x:c>
      <x:c r="G28" s="51" t="n">
        <x:f>MAX(0,F28-E28)</x:f>
        <x:v>1000</x:v>
      </x:c>
      <x:c r="H28" s="52" t="n">
        <x:v>46023</x:v>
      </x:c>
      <x:c r="I28" s="52" t="n">
        <x:v>46754</x:v>
      </x:c>
      <x:c r="J28" s="51" t="n">
        <x:v>3300</x:v>
      </x:c>
      <x:c r="K28" s="51" t="n">
        <x:v>3300</x:v>
      </x:c>
      <x:c r="L28" s="51" t="n">
        <x:f>K28-J28</x:f>
        <x:v>0</x:v>
      </x:c>
      <x:c r="M28" s="51" t="n">
        <x:v>7700</x:v>
      </x:c>
      <x:c r="N28" s="51" t="n">
        <x:v>7700</x:v>
      </x:c>
      <x:c r="O28" s="50" t="str">
        <x:v>estimada</x:v>
      </x:c>
      <x:c r="P28" s="50" t="str">
        <x:v>pgbl_regressivo_2026</x:v>
      </x:c>
      <x:c r="Q28" s="53" t="b">
        <x:v>1</x:v>
      </x:c>
      <x:c r="R28" s="53" t="b">
        <x:v>1</x:v>
      </x:c>
      <x:c r="S28" s="50" t="str">
        <x:v>A legislação de 2026 foi mantida como hipótese até o resgate. | Todo o saldo foi tratado como um lote com uma única idade.</x:v>
      </x:c>
      <x:c r="T28" s="50" t="str">
        <x:v>PGBL sobre o saldo total; VGBL apenas sobre o rendimento. | Tabela regressiva aplicada pela idade do lote simplificado.</x:v>
      </x:c>
      <x:c r="U28" s="50" t="str">
        <x:v>https://www.gov.br/previdencia/pt-br/assuntos/previdencia-complementar/mais-informacoes/perguntas-frequentes-de-previdencia-complementar</x:v>
      </x:c>
      <x:c r="V28" s="52" t="n">
        <x:v>46023</x:v>
      </x:c>
    </x:row>
    <x:row r="29">
      <x:c r="A29" s="50" t="str">
        <x:v>pgbl_regressivo_acima_4_anos</x:v>
      </x:c>
      <x:c r="B29" s="50" t="str">
        <x:v>previdencia</x:v>
      </x:c>
      <x:c r="C29" s="50" t="str">
        <x:v>PENDENTE_EVIDENCIA</x:v>
      </x:c>
      <x:c r="D29" s="50" t="str">
        <x:v>pgbl</x:v>
      </x:c>
      <x:c r="E29" s="51" t="n">
        <x:v>10000</x:v>
      </x:c>
      <x:c r="F29" s="51" t="n">
        <x:v>11000</x:v>
      </x:c>
      <x:c r="G29" s="51" t="n">
        <x:f>MAX(0,F29-E29)</x:f>
        <x:v>1000</x:v>
      </x:c>
      <x:c r="H29" s="52" t="n">
        <x:v>46023</x:v>
      </x:c>
      <x:c r="I29" s="52" t="n">
        <x:v>47484</x:v>
      </x:c>
      <x:c r="J29" s="51" t="n">
        <x:v>2750</x:v>
      </x:c>
      <x:c r="K29" s="51" t="n">
        <x:v>2750</x:v>
      </x:c>
      <x:c r="L29" s="51" t="n">
        <x:f>K29-J29</x:f>
        <x:v>0</x:v>
      </x:c>
      <x:c r="M29" s="51" t="n">
        <x:v>8250</x:v>
      </x:c>
      <x:c r="N29" s="51" t="n">
        <x:v>8250</x:v>
      </x:c>
      <x:c r="O29" s="50" t="str">
        <x:v>estimada</x:v>
      </x:c>
      <x:c r="P29" s="50" t="str">
        <x:v>pgbl_regressivo_2026</x:v>
      </x:c>
      <x:c r="Q29" s="53" t="b">
        <x:v>1</x:v>
      </x:c>
      <x:c r="R29" s="53" t="b">
        <x:v>1</x:v>
      </x:c>
      <x:c r="S29" s="50" t="str">
        <x:v>A legislação de 2026 foi mantida como hipótese até o resgate. | Todo o saldo foi tratado como um lote com uma única idade.</x:v>
      </x:c>
      <x:c r="T29" s="50" t="str">
        <x:v>PGBL sobre o saldo total; VGBL apenas sobre o rendimento. | Tabela regressiva aplicada pela idade do lote simplificado.</x:v>
      </x:c>
      <x:c r="U29" s="50" t="str">
        <x:v>https://www.gov.br/previdencia/pt-br/assuntos/previdencia-complementar/mais-informacoes/perguntas-frequentes-de-previdencia-complementar</x:v>
      </x:c>
      <x:c r="V29" s="52" t="n">
        <x:v>46023</x:v>
      </x:c>
    </x:row>
    <x:row r="30">
      <x:c r="A30" s="50" t="str">
        <x:v>pgbl_regressivo_acima_6_anos</x:v>
      </x:c>
      <x:c r="B30" s="50" t="str">
        <x:v>previdencia</x:v>
      </x:c>
      <x:c r="C30" s="50" t="str">
        <x:v>PENDENTE_EVIDENCIA</x:v>
      </x:c>
      <x:c r="D30" s="50" t="str">
        <x:v>pgbl</x:v>
      </x:c>
      <x:c r="E30" s="51" t="n">
        <x:v>10000</x:v>
      </x:c>
      <x:c r="F30" s="51" t="n">
        <x:v>11000</x:v>
      </x:c>
      <x:c r="G30" s="51" t="n">
        <x:f>MAX(0,F30-E30)</x:f>
        <x:v>1000</x:v>
      </x:c>
      <x:c r="H30" s="52" t="n">
        <x:v>46023</x:v>
      </x:c>
      <x:c r="I30" s="52" t="n">
        <x:v>48215</x:v>
      </x:c>
      <x:c r="J30" s="51" t="n">
        <x:v>2200</x:v>
      </x:c>
      <x:c r="K30" s="51" t="n">
        <x:v>2200</x:v>
      </x:c>
      <x:c r="L30" s="51" t="n">
        <x:f>K30-J30</x:f>
        <x:v>0</x:v>
      </x:c>
      <x:c r="M30" s="51" t="n">
        <x:v>8800</x:v>
      </x:c>
      <x:c r="N30" s="51" t="n">
        <x:v>8800</x:v>
      </x:c>
      <x:c r="O30" s="50" t="str">
        <x:v>estimada</x:v>
      </x:c>
      <x:c r="P30" s="50" t="str">
        <x:v>pgbl_regressivo_2026</x:v>
      </x:c>
      <x:c r="Q30" s="53" t="b">
        <x:v>1</x:v>
      </x:c>
      <x:c r="R30" s="53" t="b">
        <x:v>1</x:v>
      </x:c>
      <x:c r="S30" s="50" t="str">
        <x:v>A legislação de 2026 foi mantida como hipótese até o resgate. | Todo o saldo foi tratado como um lote com uma única idade.</x:v>
      </x:c>
      <x:c r="T30" s="50" t="str">
        <x:v>PGBL sobre o saldo total; VGBL apenas sobre o rendimento. | Tabela regressiva aplicada pela idade do lote simplificado.</x:v>
      </x:c>
      <x:c r="U30" s="50" t="str">
        <x:v>https://www.gov.br/previdencia/pt-br/assuntos/previdencia-complementar/mais-informacoes/perguntas-frequentes-de-previdencia-complementar</x:v>
      </x:c>
      <x:c r="V30" s="52" t="n">
        <x:v>46023</x:v>
      </x:c>
    </x:row>
    <x:row r="31">
      <x:c r="A31" s="50" t="str">
        <x:v>pgbl_regressivo_acima_8_anos</x:v>
      </x:c>
      <x:c r="B31" s="50" t="str">
        <x:v>previdencia</x:v>
      </x:c>
      <x:c r="C31" s="50" t="str">
        <x:v>PENDENTE_EVIDENCIA</x:v>
      </x:c>
      <x:c r="D31" s="50" t="str">
        <x:v>pgbl</x:v>
      </x:c>
      <x:c r="E31" s="51" t="n">
        <x:v>10000</x:v>
      </x:c>
      <x:c r="F31" s="51" t="n">
        <x:v>11000</x:v>
      </x:c>
      <x:c r="G31" s="51" t="n">
        <x:f>MAX(0,F31-E31)</x:f>
        <x:v>1000</x:v>
      </x:c>
      <x:c r="H31" s="52" t="n">
        <x:v>46023</x:v>
      </x:c>
      <x:c r="I31" s="52" t="n">
        <x:v>48945</x:v>
      </x:c>
      <x:c r="J31" s="51" t="n">
        <x:v>1650</x:v>
      </x:c>
      <x:c r="K31" s="51" t="n">
        <x:v>1650</x:v>
      </x:c>
      <x:c r="L31" s="51" t="n">
        <x:f>K31-J31</x:f>
        <x:v>0</x:v>
      </x:c>
      <x:c r="M31" s="51" t="n">
        <x:v>9350</x:v>
      </x:c>
      <x:c r="N31" s="51" t="n">
        <x:v>9350</x:v>
      </x:c>
      <x:c r="O31" s="50" t="str">
        <x:v>estimada</x:v>
      </x:c>
      <x:c r="P31" s="50" t="str">
        <x:v>pgbl_regressivo_2026</x:v>
      </x:c>
      <x:c r="Q31" s="53" t="b">
        <x:v>1</x:v>
      </x:c>
      <x:c r="R31" s="53" t="b">
        <x:v>1</x:v>
      </x:c>
      <x:c r="S31" s="50" t="str">
        <x:v>A legislação de 2026 foi mantida como hipótese até o resgate. | Todo o saldo foi tratado como um lote com uma única idade.</x:v>
      </x:c>
      <x:c r="T31" s="50" t="str">
        <x:v>PGBL sobre o saldo total; VGBL apenas sobre o rendimento. | Tabela regressiva aplicada pela idade do lote simplificado.</x:v>
      </x:c>
      <x:c r="U31" s="50" t="str">
        <x:v>https://www.gov.br/previdencia/pt-br/assuntos/previdencia-complementar/mais-informacoes/perguntas-frequentes-de-previdencia-complementar</x:v>
      </x:c>
      <x:c r="V31" s="52" t="n">
        <x:v>46023</x:v>
      </x:c>
    </x:row>
    <x:row r="32">
      <x:c r="A32" s="50" t="str">
        <x:v>pgbl_regressivo_acima_10_anos</x:v>
      </x:c>
      <x:c r="B32" s="50" t="str">
        <x:v>previdencia</x:v>
      </x:c>
      <x:c r="C32" s="50" t="str">
        <x:v>PENDENTE_EVIDENCIA</x:v>
      </x:c>
      <x:c r="D32" s="50" t="str">
        <x:v>pgbl</x:v>
      </x:c>
      <x:c r="E32" s="51" t="n">
        <x:v>10000</x:v>
      </x:c>
      <x:c r="F32" s="51" t="n">
        <x:v>11000</x:v>
      </x:c>
      <x:c r="G32" s="51" t="n">
        <x:f>MAX(0,F32-E32)</x:f>
        <x:v>1000</x:v>
      </x:c>
      <x:c r="H32" s="52" t="n">
        <x:v>46023</x:v>
      </x:c>
      <x:c r="I32" s="52" t="n">
        <x:v>49676</x:v>
      </x:c>
      <x:c r="J32" s="51" t="n">
        <x:v>1100</x:v>
      </x:c>
      <x:c r="K32" s="51" t="n">
        <x:v>1100</x:v>
      </x:c>
      <x:c r="L32" s="51" t="n">
        <x:f>K32-J32</x:f>
        <x:v>0</x:v>
      </x:c>
      <x:c r="M32" s="51" t="n">
        <x:v>9900</x:v>
      </x:c>
      <x:c r="N32" s="51" t="n">
        <x:v>9900</x:v>
      </x:c>
      <x:c r="O32" s="50" t="str">
        <x:v>estimada</x:v>
      </x:c>
      <x:c r="P32" s="50" t="str">
        <x:v>pgbl_regressivo_2026</x:v>
      </x:c>
      <x:c r="Q32" s="53" t="b">
        <x:v>1</x:v>
      </x:c>
      <x:c r="R32" s="53" t="b">
        <x:v>1</x:v>
      </x:c>
      <x:c r="S32" s="50" t="str">
        <x:v>A legislação de 2026 foi mantida como hipótese até o resgate. | Todo o saldo foi tratado como um lote com uma única idade.</x:v>
      </x:c>
      <x:c r="T32" s="50" t="str">
        <x:v>PGBL sobre o saldo total; VGBL apenas sobre o rendimento. | Tabela regressiva aplicada pela idade do lote simplificado.</x:v>
      </x:c>
      <x:c r="U32" s="50" t="str">
        <x:v>https://www.gov.br/previdencia/pt-br/assuntos/previdencia-complementar/mais-informacoes/perguntas-frequentes-de-previdencia-complementar</x:v>
      </x:c>
      <x:c r="V32" s="52" t="n">
        <x:v>46023</x:v>
      </x:c>
    </x:row>
    <x:row r="33">
      <x:c r="A33" s="50" t="str">
        <x:v>vgbl_regressivo_tributa_so_ganho</x:v>
      </x:c>
      <x:c r="B33" s="50" t="str">
        <x:v>previdencia</x:v>
      </x:c>
      <x:c r="C33" s="50" t="str">
        <x:v>PENDENTE_EVIDENCIA</x:v>
      </x:c>
      <x:c r="D33" s="50" t="str">
        <x:v>vgbl</x:v>
      </x:c>
      <x:c r="E33" s="51" t="n">
        <x:v>10000</x:v>
      </x:c>
      <x:c r="F33" s="51" t="n">
        <x:v>11000</x:v>
      </x:c>
      <x:c r="G33" s="51" t="n">
        <x:f>MAX(0,F33-E33)</x:f>
        <x:v>1000</x:v>
      </x:c>
      <x:c r="H33" s="52" t="n">
        <x:v>46023</x:v>
      </x:c>
      <x:c r="I33" s="52" t="n">
        <x:v>46754</x:v>
      </x:c>
      <x:c r="J33" s="51" t="n">
        <x:v>300</x:v>
      </x:c>
      <x:c r="K33" s="51" t="n">
        <x:v>300</x:v>
      </x:c>
      <x:c r="L33" s="51" t="n">
        <x:f>K33-J33</x:f>
        <x:v>0</x:v>
      </x:c>
      <x:c r="M33" s="51" t="n">
        <x:v>10700</x:v>
      </x:c>
      <x:c r="N33" s="51" t="n">
        <x:v>10700</x:v>
      </x:c>
      <x:c r="O33" s="50" t="str">
        <x:v>estimada</x:v>
      </x:c>
      <x:c r="P33" s="50" t="str">
        <x:v>vgbl_regressivo_2026</x:v>
      </x:c>
      <x:c r="Q33" s="53" t="b">
        <x:v>1</x:v>
      </x:c>
      <x:c r="R33" s="53" t="b">
        <x:v>1</x:v>
      </x:c>
      <x:c r="S33" s="50" t="str">
        <x:v>A legislação de 2026 foi mantida como hipótese até o resgate. | Todo o saldo foi tratado como um lote com uma única idade.</x:v>
      </x:c>
      <x:c r="T33" s="50" t="str">
        <x:v>PGBL sobre o saldo total; VGBL apenas sobre o rendimento. | Tabela regressiva aplicada pela idade do lote simplificado.</x:v>
      </x:c>
      <x:c r="U33" s="50" t="str">
        <x:v>https://www.gov.br/previdencia/pt-br/assuntos/previdencia-complementar/mais-informacoes/perguntas-frequentes-de-previdencia-complementar</x:v>
      </x:c>
      <x:c r="V33" s="52" t="n">
        <x:v>46023</x:v>
      </x:c>
    </x:row>
    <x:row r="34">
      <x:c r="A34" s="50" t="str">
        <x:v>pgbl_progressivo_renda_30000</x:v>
      </x:c>
      <x:c r="B34" s="50" t="str">
        <x:v>previdencia</x:v>
      </x:c>
      <x:c r="C34" s="50" t="str">
        <x:v>PENDENTE_EVIDENCIA</x:v>
      </x:c>
      <x:c r="D34" s="50" t="str">
        <x:v>pgbl</x:v>
      </x:c>
      <x:c r="E34" s="51" t="n">
        <x:v>10000</x:v>
      </x:c>
      <x:c r="F34" s="51" t="n">
        <x:v>11000</x:v>
      </x:c>
      <x:c r="G34" s="51" t="n">
        <x:f>MAX(0,F34-E34)</x:f>
        <x:v>1000</x:v>
      </x:c>
      <x:c r="H34" s="52" t="n">
        <x:v>46023</x:v>
      </x:c>
      <x:c r="I34" s="52" t="n">
        <x:v>46754</x:v>
      </x:c>
      <x:c r="J34" s="51" t="n">
        <x:v>0</x:v>
      </x:c>
      <x:c r="K34" s="51" t="n">
        <x:v>0</x:v>
      </x:c>
      <x:c r="L34" s="51" t="n">
        <x:f>K34-J34</x:f>
        <x:v>0</x:v>
      </x:c>
      <x:c r="M34" s="51" t="n">
        <x:v>11000</x:v>
      </x:c>
      <x:c r="N34" s="51" t="n">
        <x:v>11000</x:v>
      </x:c>
      <x:c r="O34" s="50" t="str">
        <x:v>estimada</x:v>
      </x:c>
      <x:c r="P34" s="50" t="str">
        <x:v>pgbl_progressivo_2026</x:v>
      </x:c>
      <x:c r="Q34" s="53" t="b">
        <x:v>1</x:v>
      </x:c>
      <x:c r="R34" s="53" t="b">
        <x:v>1</x:v>
      </x:c>
      <x:c r="S34" s="50" t="str">
        <x:v>A legislação de 2026 foi mantida como hipótese até o resgate. | A renda tributável foi usada como aproximação da base anual.</x:v>
      </x:c>
      <x:c r="T34" s="50" t="str">
        <x:v>Tabela anual e redução anual de 2026 recalculadas separadamente. | Imposto incremental calculado com e sem o resgate.</x:v>
      </x:c>
      <x:c r="U34" s="50" t="str">
        <x:v>https://www.gov.br/receitafederal/pt-br/acesso-a-informacao/perguntas-frequentes/imposto-de-renda/dirpf/declaracao/pgvl-vgbl</x:v>
      </x:c>
      <x:c r="V34" s="52" t="n">
        <x:v>46023</x:v>
      </x:c>
    </x:row>
    <x:row r="35">
      <x:c r="A35" s="50" t="str">
        <x:v>vgbl_progressivo_renda_30000</x:v>
      </x:c>
      <x:c r="B35" s="50" t="str">
        <x:v>previdencia</x:v>
      </x:c>
      <x:c r="C35" s="50" t="str">
        <x:v>PENDENTE_EVIDENCIA</x:v>
      </x:c>
      <x:c r="D35" s="50" t="str">
        <x:v>vgbl</x:v>
      </x:c>
      <x:c r="E35" s="51" t="n">
        <x:v>10000</x:v>
      </x:c>
      <x:c r="F35" s="51" t="n">
        <x:v>11000</x:v>
      </x:c>
      <x:c r="G35" s="51" t="n">
        <x:f>MAX(0,F35-E35)</x:f>
        <x:v>1000</x:v>
      </x:c>
      <x:c r="H35" s="52" t="n">
        <x:v>46023</x:v>
      </x:c>
      <x:c r="I35" s="52" t="n">
        <x:v>46754</x:v>
      </x:c>
      <x:c r="J35" s="51" t="n">
        <x:v>0</x:v>
      </x:c>
      <x:c r="K35" s="51" t="n">
        <x:v>0</x:v>
      </x:c>
      <x:c r="L35" s="51" t="n">
        <x:f>K35-J35</x:f>
        <x:v>0</x:v>
      </x:c>
      <x:c r="M35" s="51" t="n">
        <x:v>11000</x:v>
      </x:c>
      <x:c r="N35" s="51" t="n">
        <x:v>11000</x:v>
      </x:c>
      <x:c r="O35" s="50" t="str">
        <x:v>estimada</x:v>
      </x:c>
      <x:c r="P35" s="50" t="str">
        <x:v>vgbl_progressivo_2026</x:v>
      </x:c>
      <x:c r="Q35" s="53" t="b">
        <x:v>1</x:v>
      </x:c>
      <x:c r="R35" s="53" t="b">
        <x:v>1</x:v>
      </x:c>
      <x:c r="S35" s="50" t="str">
        <x:v>A legislação de 2026 foi mantida como hipótese até o resgate. | A renda tributável foi usada como aproximação da base anual.</x:v>
      </x:c>
      <x:c r="T35" s="50" t="str">
        <x:v>Tabela anual e redução anual de 2026 recalculadas separadamente. | Imposto incremental calculado com e sem o resgate.</x:v>
      </x:c>
      <x:c r="U35" s="50" t="str">
        <x:v>https://www.gov.br/receitafederal/pt-br/acesso-a-informacao/perguntas-frequentes/imposto-de-renda/dirpf/declaracao/pgvl-vgbl</x:v>
      </x:c>
      <x:c r="V35" s="52" t="n">
        <x:v>46023</x:v>
      </x:c>
    </x:row>
    <x:row r="36">
      <x:c r="A36" s="50" t="str">
        <x:v>pgbl_progressivo_sem_renda</x:v>
      </x:c>
      <x:c r="B36" s="50" t="str">
        <x:v>previdencia</x:v>
      </x:c>
      <x:c r="C36" s="50" t="str">
        <x:v>VALIDADO_GUARDRAIL</x:v>
      </x:c>
      <x:c r="D36" s="50" t="str">
        <x:v>pgbl</x:v>
      </x:c>
      <x:c r="E36" s="51" t="n">
        <x:v>10000</x:v>
      </x:c>
      <x:c r="F36" s="51" t="n">
        <x:v>11000</x:v>
      </x:c>
      <x:c r="G36" s="51" t="n">
        <x:f>MAX(0,F36-E36)</x:f>
        <x:v>1000</x:v>
      </x:c>
      <x:c r="H36" s="52" t="n">
        <x:v>46023</x:v>
      </x:c>
      <x:c r="I36" s="52" t="n">
        <x:v>46754</x:v>
      </x:c>
      <x:c r="J36" s="51"/>
      <x:c r="K36" s="51"/>
      <x:c r="L36" s="51" t="n">
        <x:f>K36-J36</x:f>
        <x:v>0</x:v>
      </x:c>
      <x:c r="M36" s="51"/>
      <x:c r="N36" s="51"/>
      <x:c r="O36" s="50" t="str">
        <x:v>indeterminada</x:v>
      </x:c>
      <x:c r="P36" s="50" t="str">
        <x:v>pgbl_progressivo_sem_renda</x:v>
      </x:c>
      <x:c r="Q36" s="53" t="b">
        <x:v>1</x:v>
      </x:c>
      <x:c r="R36" s="53" t="b">
        <x:v>1</x:v>
      </x:c>
      <x:c r="S36" s="50" t="str">
        <x:v>A renda tributável anual não foi informada.</x:v>
      </x:c>
      <x:c r="T36" s="50" t="str"/>
      <x:c r="U36" s="50" t="str">
        <x:v>https://www.gov.br/previdencia/pt-br/assuntos/previdencia-complementar/mais-informacoes/perguntas-frequentes-de-previdencia-complementar</x:v>
      </x:c>
      <x:c r="V36" s="52" t="n">
        <x:v>46023</x:v>
      </x:c>
    </x:row>
    <x:row r="37">
      <x:c r="A37" s="50" t="str">
        <x:v>pgbl_regime_ausente</x:v>
      </x:c>
      <x:c r="B37" s="50" t="str">
        <x:v>previdencia</x:v>
      </x:c>
      <x:c r="C37" s="50" t="str">
        <x:v>VALIDADO_GUARDRAIL</x:v>
      </x:c>
      <x:c r="D37" s="50" t="str">
        <x:v>pgbl</x:v>
      </x:c>
      <x:c r="E37" s="51" t="n">
        <x:v>10000</x:v>
      </x:c>
      <x:c r="F37" s="51" t="n">
        <x:v>11000</x:v>
      </x:c>
      <x:c r="G37" s="51" t="n">
        <x:f>MAX(0,F37-E37)</x:f>
        <x:v>1000</x:v>
      </x:c>
      <x:c r="H37" s="52" t="n">
        <x:v>46023</x:v>
      </x:c>
      <x:c r="I37" s="52" t="n">
        <x:v>46754</x:v>
      </x:c>
      <x:c r="J37" s="51"/>
      <x:c r="K37" s="51"/>
      <x:c r="L37" s="51" t="n">
        <x:f>K37-J37</x:f>
        <x:v>0</x:v>
      </x:c>
      <x:c r="M37" s="51"/>
      <x:c r="N37" s="51"/>
      <x:c r="O37" s="50" t="str">
        <x:v>indeterminada</x:v>
      </x:c>
      <x:c r="P37" s="50" t="str">
        <x:v>previdencia_regime_indeterminado</x:v>
      </x:c>
      <x:c r="Q37" s="53" t="b">
        <x:v>1</x:v>
      </x:c>
      <x:c r="R37" s="53" t="b">
        <x:v>1</x:v>
      </x:c>
      <x:c r="S37" s="50" t="str">
        <x:v>O regime progressivo ou regressivo não foi informado.</x:v>
      </x:c>
      <x:c r="T37" s="50" t="str"/>
      <x:c r="U37" s="50" t="str">
        <x:v>https://www.gov.br/previdencia/pt-br/assuntos/previdencia-complementar/mais-informacoes/perguntas-frequentes-de-previdencia-complementar</x:v>
      </x:c>
      <x:c r="V37" s="52" t="n">
        <x:v>46023</x:v>
      </x:c>
    </x:row>
    <x:row r="38">
      <x:c r="A38" s="50" t="str">
        <x:v>acao_comum_vendas_20000_isenta</x:v>
      </x:c>
      <x:c r="B38" s="50" t="str">
        <x:v>renda_variavel</x:v>
      </x:c>
      <x:c r="C38" s="50" t="str">
        <x:v>PENDENTE_EVIDENCIA</x:v>
      </x:c>
      <x:c r="D38" s="50" t="str">
        <x:v>acao</x:v>
      </x:c>
      <x:c r="E38" s="51" t="n">
        <x:v>10000</x:v>
      </x:c>
      <x:c r="F38" s="51" t="n">
        <x:v>11000</x:v>
      </x:c>
      <x:c r="G38" s="51" t="n">
        <x:f>MAX(0,F38-E38)</x:f>
        <x:v>1000</x:v>
      </x:c>
      <x:c r="H38" s="52" t="n">
        <x:v>46023</x:v>
      </x:c>
      <x:c r="I38" s="52" t="n">
        <x:v>46204</x:v>
      </x:c>
      <x:c r="J38" s="51" t="n">
        <x:v>0</x:v>
      </x:c>
      <x:c r="K38" s="51" t="n">
        <x:v>0</x:v>
      </x:c>
      <x:c r="L38" s="51" t="n">
        <x:f>K38-J38</x:f>
        <x:v>0</x:v>
      </x:c>
      <x:c r="M38" s="51" t="n">
        <x:v>11000</x:v>
      </x:c>
      <x:c r="N38" s="51" t="n">
        <x:v>11000</x:v>
      </x:c>
      <x:c r="O38" s="50" t="str">
        <x:v>estimada</x:v>
      </x:c>
      <x:c r="P38" s="50" t="str">
        <x:v>acoes_isencao_mensal_2026</x:v>
      </x:c>
      <x:c r="Q38" s="53" t="b">
        <x:v>1</x:v>
      </x:c>
      <x:c r="R38" s="53" t="b">
        <x:v>1</x:v>
      </x:c>
      <x:c r="S38" s="50" t="str">
        <x:v>O total mensal de vendas foi aceito como informado pelo usuário.</x:v>
      </x:c>
      <x:c r="T38" s="50" t="str">
        <x:v>Isenção aplicada apenas a operações comuns com ações elegíveis.</x:v>
      </x:c>
      <x:c r="U38" s="50" t="str">
        <x:v>https://www.gov.br/receitafederal/pt-br/acesso-a-informacao/perguntas-frequentes/imposto-de-renda/dirpf</x:v>
      </x:c>
      <x:c r="V38" s="52" t="n">
        <x:v>46023</x:v>
      </x:c>
    </x:row>
    <x:row r="39">
      <x:c r="A39" s="50" t="str">
        <x:v>acao_comum_vendas_acima_20000</x:v>
      </x:c>
      <x:c r="B39" s="50" t="str">
        <x:v>renda_variavel</x:v>
      </x:c>
      <x:c r="C39" s="50" t="str">
        <x:v>PENDENTE_EVIDENCIA</x:v>
      </x:c>
      <x:c r="D39" s="50" t="str">
        <x:v>acao</x:v>
      </x:c>
      <x:c r="E39" s="51" t="n">
        <x:v>10000</x:v>
      </x:c>
      <x:c r="F39" s="51" t="n">
        <x:v>11000</x:v>
      </x:c>
      <x:c r="G39" s="51" t="n">
        <x:f>MAX(0,F39-E39)</x:f>
        <x:v>1000</x:v>
      </x:c>
      <x:c r="H39" s="52" t="n">
        <x:v>46023</x:v>
      </x:c>
      <x:c r="I39" s="52" t="n">
        <x:v>46204</x:v>
      </x:c>
      <x:c r="J39" s="51" t="n">
        <x:v>150</x:v>
      </x:c>
      <x:c r="K39" s="51" t="n">
        <x:v>150</x:v>
      </x:c>
      <x:c r="L39" s="51" t="n">
        <x:f>K39-J39</x:f>
        <x:v>0</x:v>
      </x:c>
      <x:c r="M39" s="51" t="n">
        <x:v>10850</x:v>
      </x:c>
      <x:c r="N39" s="51" t="n">
        <x:v>10850</x:v>
      </x:c>
      <x:c r="O39" s="50" t="str">
        <x:v>estimada</x:v>
      </x:c>
      <x:c r="P39" s="50" t="str">
        <x:v>acao_comum_2026</x:v>
      </x:c>
      <x:c r="Q39" s="53" t="b">
        <x:v>1</x:v>
      </x:c>
      <x:c r="R39" s="53" t="b">
        <x:v>1</x:v>
      </x:c>
      <x:c r="S39" s="50" t="str">
        <x:v>Custos, notas de corretagem e operações simultâneas não foram reconstruídos. | Prejuízo acumulado e IRRF foram aceitos como informados pelo usuário.</x:v>
      </x:c>
      <x:c r="T39" s="50" t="str">
        <x:v>Alíquota de 15% aplicada à modalidade comum. | Compensação limitada ao saldo da modalidade informada.</x:v>
      </x:c>
      <x:c r="U39" s="50" t="str">
        <x:v>https://www.gov.br/receitafederal/pt-br/assuntos/meu-imposto-de-renda/pagamento/ganhos-de-capital/aliquotas</x:v>
      </x:c>
      <x:c r="V39" s="52" t="n">
        <x:v>46023</x:v>
      </x:c>
    </x:row>
    <x:row r="40">
      <x:c r="A40" s="50" t="str">
        <x:v>acao_comum_compensa_prejuizo</x:v>
      </x:c>
      <x:c r="B40" s="50" t="str">
        <x:v>renda_variavel</x:v>
      </x:c>
      <x:c r="C40" s="50" t="str">
        <x:v>PENDENTE_EVIDENCIA</x:v>
      </x:c>
      <x:c r="D40" s="50" t="str">
        <x:v>acao</x:v>
      </x:c>
      <x:c r="E40" s="51" t="n">
        <x:v>10000</x:v>
      </x:c>
      <x:c r="F40" s="51" t="n">
        <x:v>11000</x:v>
      </x:c>
      <x:c r="G40" s="51" t="n">
        <x:f>MAX(0,F40-E40)</x:f>
        <x:v>1000</x:v>
      </x:c>
      <x:c r="H40" s="52" t="n">
        <x:v>46023</x:v>
      </x:c>
      <x:c r="I40" s="52" t="n">
        <x:v>46204</x:v>
      </x:c>
      <x:c r="J40" s="51" t="n">
        <x:v>90</x:v>
      </x:c>
      <x:c r="K40" s="51" t="n">
        <x:v>90</x:v>
      </x:c>
      <x:c r="L40" s="51" t="n">
        <x:f>K40-J40</x:f>
        <x:v>0</x:v>
      </x:c>
      <x:c r="M40" s="51" t="n">
        <x:v>10910</x:v>
      </x:c>
      <x:c r="N40" s="51" t="n">
        <x:v>10910</x:v>
      </x:c>
      <x:c r="O40" s="50" t="str">
        <x:v>estimada</x:v>
      </x:c>
      <x:c r="P40" s="50" t="str">
        <x:v>acao_comum_2026</x:v>
      </x:c>
      <x:c r="Q40" s="53" t="b">
        <x:v>1</x:v>
      </x:c>
      <x:c r="R40" s="53" t="b">
        <x:v>1</x:v>
      </x:c>
      <x:c r="S40" s="50" t="str">
        <x:v>Custos, notas de corretagem e operações simultâneas não foram reconstruídos. | Prejuízo acumulado e IRRF foram aceitos como informados pelo usuário.</x:v>
      </x:c>
      <x:c r="T40" s="50" t="str">
        <x:v>Alíquota de 15% aplicada à modalidade comum. | Compensação limitada ao saldo da modalidade informada.</x:v>
      </x:c>
      <x:c r="U40" s="50" t="str">
        <x:v>https://www.gov.br/receitafederal/pt-br/assuntos/meu-imposto-de-renda/pagamento/ganhos-de-capital/aliquotas</x:v>
      </x:c>
      <x:c r="V40" s="52" t="n">
        <x:v>46023</x:v>
      </x:c>
    </x:row>
    <x:row r="41">
      <x:c r="A41" s="50" t="str">
        <x:v>acao_comum_compensa_irrf</x:v>
      </x:c>
      <x:c r="B41" s="50" t="str">
        <x:v>renda_variavel</x:v>
      </x:c>
      <x:c r="C41" s="50" t="str">
        <x:v>PENDENTE_EVIDENCIA</x:v>
      </x:c>
      <x:c r="D41" s="50" t="str">
        <x:v>acao</x:v>
      </x:c>
      <x:c r="E41" s="51" t="n">
        <x:v>10000</x:v>
      </x:c>
      <x:c r="F41" s="51" t="n">
        <x:v>11000</x:v>
      </x:c>
      <x:c r="G41" s="51" t="n">
        <x:f>MAX(0,F41-E41)</x:f>
        <x:v>1000</x:v>
      </x:c>
      <x:c r="H41" s="52" t="n">
        <x:v>46023</x:v>
      </x:c>
      <x:c r="I41" s="52" t="n">
        <x:v>46204</x:v>
      </x:c>
      <x:c r="J41" s="51" t="n">
        <x:v>130</x:v>
      </x:c>
      <x:c r="K41" s="51" t="n">
        <x:v>130</x:v>
      </x:c>
      <x:c r="L41" s="51" t="n">
        <x:f>K41-J41</x:f>
        <x:v>0</x:v>
      </x:c>
      <x:c r="M41" s="51" t="n">
        <x:v>10870</x:v>
      </x:c>
      <x:c r="N41" s="51" t="n">
        <x:v>10870</x:v>
      </x:c>
      <x:c r="O41" s="50" t="str">
        <x:v>estimada</x:v>
      </x:c>
      <x:c r="P41" s="50" t="str">
        <x:v>acao_comum_2026</x:v>
      </x:c>
      <x:c r="Q41" s="53" t="b">
        <x:v>1</x:v>
      </x:c>
      <x:c r="R41" s="53" t="b">
        <x:v>1</x:v>
      </x:c>
      <x:c r="S41" s="50" t="str">
        <x:v>Custos, notas de corretagem e operações simultâneas não foram reconstruídos. | Prejuízo acumulado e IRRF foram aceitos como informados pelo usuário.</x:v>
      </x:c>
      <x:c r="T41" s="50" t="str">
        <x:v>Alíquota de 15% aplicada à modalidade comum. | Compensação limitada ao saldo da modalidade informada.</x:v>
      </x:c>
      <x:c r="U41" s="50" t="str">
        <x:v>https://www.gov.br/receitafederal/pt-br/assuntos/meu-imposto-de-renda/pagamento/ganhos-de-capital/aliquotas</x:v>
      </x:c>
      <x:c r="V41" s="52" t="n">
        <x:v>46023</x:v>
      </x:c>
    </x:row>
    <x:row r="42">
      <x:c r="A42" s="50" t="str">
        <x:v>acao_day_trade_20_porcento</x:v>
      </x:c>
      <x:c r="B42" s="50" t="str">
        <x:v>renda_variavel</x:v>
      </x:c>
      <x:c r="C42" s="50" t="str">
        <x:v>PENDENTE_EVIDENCIA</x:v>
      </x:c>
      <x:c r="D42" s="50" t="str">
        <x:v>acao</x:v>
      </x:c>
      <x:c r="E42" s="51" t="n">
        <x:v>10000</x:v>
      </x:c>
      <x:c r="F42" s="51" t="n">
        <x:v>11000</x:v>
      </x:c>
      <x:c r="G42" s="51" t="n">
        <x:f>MAX(0,F42-E42)</x:f>
        <x:v>1000</x:v>
      </x:c>
      <x:c r="H42" s="52" t="n">
        <x:v>46204</x:v>
      </x:c>
      <x:c r="I42" s="52" t="n">
        <x:v>46204</x:v>
      </x:c>
      <x:c r="J42" s="51" t="n">
        <x:v>200</x:v>
      </x:c>
      <x:c r="K42" s="51" t="n">
        <x:v>200</x:v>
      </x:c>
      <x:c r="L42" s="51" t="n">
        <x:f>K42-J42</x:f>
        <x:v>0</x:v>
      </x:c>
      <x:c r="M42" s="51" t="n">
        <x:v>10800</x:v>
      </x:c>
      <x:c r="N42" s="51" t="n">
        <x:v>10800</x:v>
      </x:c>
      <x:c r="O42" s="50" t="str">
        <x:v>estimada</x:v>
      </x:c>
      <x:c r="P42" s="50" t="str">
        <x:v>acao_daytrade_2026</x:v>
      </x:c>
      <x:c r="Q42" s="53" t="b">
        <x:v>1</x:v>
      </x:c>
      <x:c r="R42" s="53" t="b">
        <x:v>1</x:v>
      </x:c>
      <x:c r="S42" s="50" t="str">
        <x:v>Custos, notas de corretagem e operações simultâneas não foram reconstruídos. | Prejuízo acumulado e IRRF foram aceitos como informados pelo usuário.</x:v>
      </x:c>
      <x:c r="T42" s="50" t="str">
        <x:v>Alíquota de 20% aplicada à modalidade day_trade. | Compensação limitada ao saldo da modalidade informada.</x:v>
      </x:c>
      <x:c r="U42" s="50" t="str">
        <x:v>https://www.gov.br/receitafederal/pt-br/assuntos/meu-imposto-de-renda/pagamento/ganhos-de-capital/aliquotas</x:v>
      </x:c>
      <x:c r="V42" s="52" t="n">
        <x:v>46023</x:v>
      </x:c>
    </x:row>
    <x:row r="43">
      <x:c r="A43" s="50" t="str">
        <x:v>fii_venda_com_ganho</x:v>
      </x:c>
      <x:c r="B43" s="50" t="str">
        <x:v>renda_variavel</x:v>
      </x:c>
      <x:c r="C43" s="50" t="str">
        <x:v>PENDENTE_EVIDENCIA</x:v>
      </x:c>
      <x:c r="D43" s="50" t="str">
        <x:v>fii</x:v>
      </x:c>
      <x:c r="E43" s="51" t="n">
        <x:v>10000</x:v>
      </x:c>
      <x:c r="F43" s="51" t="n">
        <x:v>11000</x:v>
      </x:c>
      <x:c r="G43" s="51" t="n">
        <x:f>MAX(0,F43-E43)</x:f>
        <x:v>1000</x:v>
      </x:c>
      <x:c r="H43" s="52" t="n">
        <x:v>46023</x:v>
      </x:c>
      <x:c r="I43" s="52" t="n">
        <x:v>46204</x:v>
      </x:c>
      <x:c r="J43" s="51" t="n">
        <x:v>200</x:v>
      </x:c>
      <x:c r="K43" s="51" t="n">
        <x:v>200</x:v>
      </x:c>
      <x:c r="L43" s="51" t="n">
        <x:f>K43-J43</x:f>
        <x:v>0</x:v>
      </x:c>
      <x:c r="M43" s="51" t="n">
        <x:v>10800</x:v>
      </x:c>
      <x:c r="N43" s="51" t="n">
        <x:v>10800</x:v>
      </x:c>
      <x:c r="O43" s="50" t="str">
        <x:v>estimada</x:v>
      </x:c>
      <x:c r="P43" s="50" t="str">
        <x:v>fii_comum_2026</x:v>
      </x:c>
      <x:c r="Q43" s="53" t="b">
        <x:v>1</x:v>
      </x:c>
      <x:c r="R43" s="53" t="b">
        <x:v>1</x:v>
      </x:c>
      <x:c r="S43" s="50" t="str">
        <x:v>Custos, notas de corretagem e operações simultâneas não foram reconstruídos. | Prejuízo acumulado e IRRF foram aceitos como informados pelo usuário.</x:v>
      </x:c>
      <x:c r="T43" s="50" t="str">
        <x:v>Alíquota de 20% aplicada à modalidade fii. | Compensação limitada ao saldo da modalidade informada.</x:v>
      </x:c>
      <x:c r="U43" s="50" t="str">
        <x:v>https://www.gov.br/receitafederal/pt-br/assuntos/meu-imposto-de-renda/pagamento/ganhos-de-capital/aliquotas</x:v>
      </x:c>
      <x:c r="V43" s="52" t="n">
        <x:v>46023</x:v>
      </x:c>
    </x:row>
    <x:row r="44">
      <x:c r="A44" s="50" t="str">
        <x:v>etf_comum_sem_isencao_mensal</x:v>
      </x:c>
      <x:c r="B44" s="50" t="str">
        <x:v>renda_variavel</x:v>
      </x:c>
      <x:c r="C44" s="50" t="str">
        <x:v>PENDENTE_EVIDENCIA</x:v>
      </x:c>
      <x:c r="D44" s="50" t="str">
        <x:v>etf</x:v>
      </x:c>
      <x:c r="E44" s="51" t="n">
        <x:v>10000</x:v>
      </x:c>
      <x:c r="F44" s="51" t="n">
        <x:v>11000</x:v>
      </x:c>
      <x:c r="G44" s="51" t="n">
        <x:f>MAX(0,F44-E44)</x:f>
        <x:v>1000</x:v>
      </x:c>
      <x:c r="H44" s="52" t="n">
        <x:v>46023</x:v>
      </x:c>
      <x:c r="I44" s="52" t="n">
        <x:v>46204</x:v>
      </x:c>
      <x:c r="J44" s="51" t="n">
        <x:v>150</x:v>
      </x:c>
      <x:c r="K44" s="51" t="n">
        <x:v>150</x:v>
      </x:c>
      <x:c r="L44" s="51" t="n">
        <x:f>K44-J44</x:f>
        <x:v>0</x:v>
      </x:c>
      <x:c r="M44" s="51" t="n">
        <x:v>10850</x:v>
      </x:c>
      <x:c r="N44" s="51" t="n">
        <x:v>10850</x:v>
      </x:c>
      <x:c r="O44" s="50" t="str">
        <x:v>estimada</x:v>
      </x:c>
      <x:c r="P44" s="50" t="str">
        <x:v>etf_comum_2026</x:v>
      </x:c>
      <x:c r="Q44" s="53" t="b">
        <x:v>1</x:v>
      </x:c>
      <x:c r="R44" s="53" t="b">
        <x:v>1</x:v>
      </x:c>
      <x:c r="S44" s="50" t="str">
        <x:v>Custos, notas de corretagem e operações simultâneas não foram reconstruídos. | Prejuízo acumulado e IRRF foram aceitos como informados pelo usuário.</x:v>
      </x:c>
      <x:c r="T44" s="50" t="str">
        <x:v>Alíquota de 15% aplicada à modalidade comum. | Compensação limitada ao saldo da modalidade informada.</x:v>
      </x:c>
      <x:c r="U44" s="50" t="str">
        <x:v>https://www.gov.br/receitafederal/pt-br/assuntos/meu-imposto-de-renda/pagamento/ganhos-de-capital/aliquotas</x:v>
      </x:c>
      <x:c r="V44" s="52" t="n">
        <x:v>46023</x:v>
      </x:c>
    </x:row>
    <x:row r="45">
      <x:c r="A45" s="50" t="str">
        <x:v>acao_sem_ganho</x:v>
      </x:c>
      <x:c r="B45" s="50" t="str">
        <x:v>renda_variavel</x:v>
      </x:c>
      <x:c r="C45" s="50" t="str">
        <x:v>PENDENTE_EVIDENCIA</x:v>
      </x:c>
      <x:c r="D45" s="50" t="str">
        <x:v>acao</x:v>
      </x:c>
      <x:c r="E45" s="51" t="n">
        <x:v>11000</x:v>
      </x:c>
      <x:c r="F45" s="51" t="n">
        <x:v>10000</x:v>
      </x:c>
      <x:c r="G45" s="51" t="n">
        <x:f>MAX(0,F45-E45)</x:f>
        <x:v>0</x:v>
      </x:c>
      <x:c r="H45" s="52" t="n">
        <x:v>46023</x:v>
      </x:c>
      <x:c r="I45" s="52" t="n">
        <x:v>46204</x:v>
      </x:c>
      <x:c r="J45" s="51" t="n">
        <x:v>0</x:v>
      </x:c>
      <x:c r="K45" s="51" t="n">
        <x:v>0</x:v>
      </x:c>
      <x:c r="L45" s="51" t="n">
        <x:f>K45-J45</x:f>
        <x:v>0</x:v>
      </x:c>
      <x:c r="M45" s="51" t="n">
        <x:v>10000</x:v>
      </x:c>
      <x:c r="N45" s="51" t="n">
        <x:v>10000</x:v>
      </x:c>
      <x:c r="O45" s="50" t="str">
        <x:v>estimada</x:v>
      </x:c>
      <x:c r="P45" s="50" t="str">
        <x:v>acao_comum_2026</x:v>
      </x:c>
      <x:c r="Q45" s="53" t="b">
        <x:v>1</x:v>
      </x:c>
      <x:c r="R45" s="53" t="b">
        <x:v>1</x:v>
      </x:c>
      <x:c r="S45" s="50" t="str">
        <x:v>Custos, notas de corretagem e operações simultâneas não foram reconstruídos. | Prejuízo acumulado e IRRF foram aceitos como informados pelo usuário.</x:v>
      </x:c>
      <x:c r="T45" s="50" t="str">
        <x:v>Alíquota de 15% aplicada à modalidade comum. | Compensação limitada ao saldo da modalidade informada.</x:v>
      </x:c>
      <x:c r="U45" s="50" t="str">
        <x:v>https://www.gov.br/receitafederal/pt-br/assuntos/meu-imposto-de-renda/pagamento/ganhos-de-capital/aliquotas</x:v>
      </x:c>
      <x:c r="V45" s="52" t="n">
        <x:v>46023</x:v>
      </x:c>
    </x:row>
    <x:row r="46">
      <x:c r="A46" s="50" t="str">
        <x:v>acao_sem_valor_vendas_nao_aplica_isencao</x:v>
      </x:c>
      <x:c r="B46" s="50" t="str">
        <x:v>renda_variavel</x:v>
      </x:c>
      <x:c r="C46" s="50" t="str">
        <x:v>PENDENTE_EVIDENCIA</x:v>
      </x:c>
      <x:c r="D46" s="50" t="str">
        <x:v>acao</x:v>
      </x:c>
      <x:c r="E46" s="51" t="n">
        <x:v>10000</x:v>
      </x:c>
      <x:c r="F46" s="51" t="n">
        <x:v>11000</x:v>
      </x:c>
      <x:c r="G46" s="51" t="n">
        <x:f>MAX(0,F46-E46)</x:f>
        <x:v>1000</x:v>
      </x:c>
      <x:c r="H46" s="52" t="n">
        <x:v>46023</x:v>
      </x:c>
      <x:c r="I46" s="52" t="n">
        <x:v>46204</x:v>
      </x:c>
      <x:c r="J46" s="51" t="n">
        <x:v>150</x:v>
      </x:c>
      <x:c r="K46" s="51" t="n">
        <x:v>150</x:v>
      </x:c>
      <x:c r="L46" s="51" t="n">
        <x:f>K46-J46</x:f>
        <x:v>0</x:v>
      </x:c>
      <x:c r="M46" s="51" t="n">
        <x:v>10850</x:v>
      </x:c>
      <x:c r="N46" s="51" t="n">
        <x:v>10850</x:v>
      </x:c>
      <x:c r="O46" s="50" t="str">
        <x:v>estimada</x:v>
      </x:c>
      <x:c r="P46" s="50" t="str">
        <x:v>acao_comum_2026</x:v>
      </x:c>
      <x:c r="Q46" s="53" t="b">
        <x:v>1</x:v>
      </x:c>
      <x:c r="R46" s="53" t="b">
        <x:v>1</x:v>
      </x:c>
      <x:c r="S46" s="50" t="str">
        <x:v>Custos, notas de corretagem e operações simultâneas não foram reconstruídos. | Prejuízo acumulado e IRRF foram aceitos como informados pelo usuário.</x:v>
      </x:c>
      <x:c r="T46" s="50" t="str">
        <x:v>Alíquota de 15% aplicada à modalidade comum. | Compensação limitada ao saldo da modalidade informada.</x:v>
      </x:c>
      <x:c r="U46" s="50" t="str">
        <x:v>https://www.gov.br/receitafederal/pt-br/assuntos/meu-imposto-de-renda/pagamento/ganhos-de-capital/aliquotas</x:v>
      </x:c>
      <x:c r="V46" s="52" t="n">
        <x:v>46023</x:v>
      </x:c>
    </x:row>
    <x:row r="47">
      <x:c r="A47" s="50" t="str">
        <x:v>produto_bdr_nao_suportado</x:v>
      </x:c>
      <x:c r="B47" s="50" t="str">
        <x:v>renda_variavel</x:v>
      </x:c>
      <x:c r="C47" s="50" t="str">
        <x:v>FORA_DO_ESCOPO</x:v>
      </x:c>
      <x:c r="D47" s="50" t="str">
        <x:v>bdr</x:v>
      </x:c>
      <x:c r="E47" s="51" t="n">
        <x:v>10000</x:v>
      </x:c>
      <x:c r="F47" s="51" t="n">
        <x:v>11000</x:v>
      </x:c>
      <x:c r="G47" s="51" t="n">
        <x:f>MAX(0,F47-E47)</x:f>
        <x:v>1000</x:v>
      </x:c>
      <x:c r="H47" s="52" t="n">
        <x:v>46023</x:v>
      </x:c>
      <x:c r="I47" s="52" t="n">
        <x:v>46204</x:v>
      </x:c>
      <x:c r="J47" s="51"/>
      <x:c r="K47" s="51"/>
      <x:c r="L47" s="51" t="n">
        <x:f>K47-J47</x:f>
        <x:v>0</x:v>
      </x:c>
      <x:c r="M47" s="51"/>
      <x:c r="N47" s="51"/>
      <x:c r="O47" s="50" t="str">
        <x:v>indeterminada</x:v>
      </x:c>
      <x:c r="P47" s="50" t="str">
        <x:v>produto_nao_suportado</x:v>
      </x:c>
      <x:c r="Q47" s="53" t="b">
        <x:v>1</x:v>
      </x:c>
      <x:c r="R47" s="53" t="b">
        <x:v>1</x:v>
      </x:c>
      <x:c r="S47" s="50" t="str">
        <x:v>Produto não suportado pela fachada: bdr.</x:v>
      </x:c>
      <x:c r="T47" s="50" t="str"/>
      <x:c r="U47" s="50" t="str">
        <x:v>https://www.gov.br/receitafederal/pt-br/assuntos/meu-imposto-de-renda/tabelas/2026</x:v>
      </x:c>
      <x:c r="V47" s="52" t="n">
        <x:v>46023</x:v>
      </x:c>
    </x:row>
    <x:row r="48">
      <x:c r="A48" s="50" t="str">
        <x:v>cra_pessoa_fisica_isento</x:v>
      </x:c>
      <x:c r="B48" s="50" t="str">
        <x:v>estruturados</x:v>
      </x:c>
      <x:c r="C48" s="50" t="str">
        <x:v>PENDENTE_EVIDENCIA</x:v>
      </x:c>
      <x:c r="D48" s="50" t="str">
        <x:v>cra</x:v>
      </x:c>
      <x:c r="E48" s="51" t="n">
        <x:v>10000</x:v>
      </x:c>
      <x:c r="F48" s="51" t="n">
        <x:v>11000</x:v>
      </x:c>
      <x:c r="G48" s="51" t="n">
        <x:f>MAX(0,F48-E48)</x:f>
        <x:v>1000</x:v>
      </x:c>
      <x:c r="H48" s="52" t="n">
        <x:v>46023</x:v>
      </x:c>
      <x:c r="I48" s="52" t="n">
        <x:v>46744</x:v>
      </x:c>
      <x:c r="J48" s="51" t="n">
        <x:v>0</x:v>
      </x:c>
      <x:c r="K48" s="51" t="n">
        <x:v>0</x:v>
      </x:c>
      <x:c r="L48" s="51" t="n">
        <x:f>K48-J48</x:f>
        <x:v>0</x:v>
      </x:c>
      <x:c r="M48" s="51" t="n">
        <x:v>11000</x:v>
      </x:c>
      <x:c r="N48" s="51" t="n">
        <x:v>11000</x:v>
      </x:c>
      <x:c r="O48" s="50" t="str">
        <x:v>exata_para_premissas</x:v>
      </x:c>
      <x:c r="P48" s="50" t="str">
        <x:v>rf_isenta_pf_2026</x:v>
      </x:c>
      <x:c r="Q48" s="53" t="b">
        <x:v>1</x:v>
      </x:c>
      <x:c r="R48" s="53" t="b">
        <x:v>1</x:v>
      </x:c>
      <x:c r="S48" s="50" t="str">
        <x:v>A legislação de 2026 foi mantida como hipótese até o resgate. | A confirmação foi aceita sem inspeção do documento do instrumento.</x:v>
      </x:c>
      <x:c r="T48" s="50" t="str">
        <x:v>Isenção condicionada à elegibilidade confirmada para pessoa física.</x:v>
      </x:c>
      <x:c r="U48" s="50" t="str">
        <x:v>https://www.planalto.gov.br/ccivil_03/_ato2004-2006/2004/lei/l11033compilado.htm</x:v>
      </x:c>
      <x:c r="V48" s="52" t="n">
        <x:v>46023</x:v>
      </x:c>
    </x:row>
    <x:row r="49">
      <x:c r="A49" s="50" t="str">
        <x:v>cri_pessoa_fisica_isento</x:v>
      </x:c>
      <x:c r="B49" s="50" t="str">
        <x:v>estruturados</x:v>
      </x:c>
      <x:c r="C49" s="50" t="str">
        <x:v>PENDENTE_EVIDENCIA</x:v>
      </x:c>
      <x:c r="D49" s="50" t="str">
        <x:v>cri</x:v>
      </x:c>
      <x:c r="E49" s="51" t="n">
        <x:v>10000</x:v>
      </x:c>
      <x:c r="F49" s="51" t="n">
        <x:v>11000</x:v>
      </x:c>
      <x:c r="G49" s="51" t="n">
        <x:f>MAX(0,F49-E49)</x:f>
        <x:v>1000</x:v>
      </x:c>
      <x:c r="H49" s="52" t="n">
        <x:v>46023</x:v>
      </x:c>
      <x:c r="I49" s="52" t="n">
        <x:v>46744</x:v>
      </x:c>
      <x:c r="J49" s="51" t="n">
        <x:v>0</x:v>
      </x:c>
      <x:c r="K49" s="51" t="n">
        <x:v>0</x:v>
      </x:c>
      <x:c r="L49" s="51" t="n">
        <x:f>K49-J49</x:f>
        <x:v>0</x:v>
      </x:c>
      <x:c r="M49" s="51" t="n">
        <x:v>11000</x:v>
      </x:c>
      <x:c r="N49" s="51" t="n">
        <x:v>11000</x:v>
      </x:c>
      <x:c r="O49" s="50" t="str">
        <x:v>exata_para_premissas</x:v>
      </x:c>
      <x:c r="P49" s="50" t="str">
        <x:v>rf_isenta_pf_2026</x:v>
      </x:c>
      <x:c r="Q49" s="53" t="b">
        <x:v>1</x:v>
      </x:c>
      <x:c r="R49" s="53" t="b">
        <x:v>1</x:v>
      </x:c>
      <x:c r="S49" s="50" t="str">
        <x:v>A legislação de 2026 foi mantida como hipótese até o resgate. | A confirmação foi aceita sem inspeção do documento do instrumento.</x:v>
      </x:c>
      <x:c r="T49" s="50" t="str">
        <x:v>Isenção condicionada à elegibilidade confirmada para pessoa física.</x:v>
      </x:c>
      <x:c r="U49" s="50" t="str">
        <x:v>https://www.planalto.gov.br/ccivil_03/_ato2004-2006/2004/lei/l11033compilado.htm</x:v>
      </x:c>
      <x:c r="V49" s="52" t="n">
        <x:v>46023</x:v>
      </x:c>
    </x:row>
    <x:row r="50">
      <x:c r="A50" s="50" t="str">
        <x:v>debenture_incentivada_pf_isenta</x:v>
      </x:c>
      <x:c r="B50" s="50" t="str">
        <x:v>estruturados</x:v>
      </x:c>
      <x:c r="C50" s="50" t="str">
        <x:v>PENDENTE_EVIDENCIA</x:v>
      </x:c>
      <x:c r="D50" s="50" t="str">
        <x:v>debenture_incentivada</x:v>
      </x:c>
      <x:c r="E50" s="51" t="n">
        <x:v>10000</x:v>
      </x:c>
      <x:c r="F50" s="51" t="n">
        <x:v>11000</x:v>
      </x:c>
      <x:c r="G50" s="51" t="n">
        <x:f>MAX(0,F50-E50)</x:f>
        <x:v>1000</x:v>
      </x:c>
      <x:c r="H50" s="52" t="n">
        <x:v>46023</x:v>
      </x:c>
      <x:c r="I50" s="52" t="n">
        <x:v>46744</x:v>
      </x:c>
      <x:c r="J50" s="51" t="n">
        <x:v>0</x:v>
      </x:c>
      <x:c r="K50" s="51" t="n">
        <x:v>0</x:v>
      </x:c>
      <x:c r="L50" s="51" t="n">
        <x:f>K50-J50</x:f>
        <x:v>0</x:v>
      </x:c>
      <x:c r="M50" s="51" t="n">
        <x:v>11000</x:v>
      </x:c>
      <x:c r="N50" s="51" t="n">
        <x:v>11000</x:v>
      </x:c>
      <x:c r="O50" s="50" t="str">
        <x:v>exata_para_premissas</x:v>
      </x:c>
      <x:c r="P50" s="50" t="str">
        <x:v>rf_isenta_pf_2026</x:v>
      </x:c>
      <x:c r="Q50" s="53" t="b">
        <x:v>1</x:v>
      </x:c>
      <x:c r="R50" s="53" t="b">
        <x:v>1</x:v>
      </x:c>
      <x:c r="S50" s="50" t="str">
        <x:v>A legislação de 2026 foi mantida como hipótese até o resgate. | A confirmação foi aceita sem inspeção do documento do instrumento.</x:v>
      </x:c>
      <x:c r="T50" s="50" t="str">
        <x:v>Isenção condicionada à elegibilidade confirmada para pessoa física.</x:v>
      </x:c>
      <x:c r="U50" s="50" t="str">
        <x:v>https://www.planalto.gov.br/ccivil_03/_ato2011-2014/2011/lei/l12431.htm</x:v>
      </x:c>
      <x:c r="V50" s="52" t="n">
        <x:v>46023</x:v>
      </x:c>
    </x:row>
    <x:row r="51">
      <x:c r="A51" s="50" t="str">
        <x:v>debenture_comum_721_dias</x:v>
      </x:c>
      <x:c r="B51" s="50" t="str">
        <x:v>estruturados</x:v>
      </x:c>
      <x:c r="C51" s="50" t="str">
        <x:v>PENDENTE_EVIDENCIA</x:v>
      </x:c>
      <x:c r="D51" s="50" t="str">
        <x:v>debenture_comum</x:v>
      </x:c>
      <x:c r="E51" s="51" t="n">
        <x:v>10000</x:v>
      </x:c>
      <x:c r="F51" s="51" t="n">
        <x:v>11000</x:v>
      </x:c>
      <x:c r="G51" s="51" t="n">
        <x:f>MAX(0,F51-E51)</x:f>
        <x:v>1000</x:v>
      </x:c>
      <x:c r="H51" s="52" t="n">
        <x:v>46023</x:v>
      </x:c>
      <x:c r="I51" s="52" t="n">
        <x:v>46744</x:v>
      </x:c>
      <x:c r="J51" s="51" t="n">
        <x:v>150</x:v>
      </x:c>
      <x:c r="K51" s="51" t="n">
        <x:v>150</x:v>
      </x:c>
      <x:c r="L51" s="51" t="n">
        <x:f>K51-J51</x:f>
        <x:v>0</x:v>
      </x:c>
      <x:c r="M51" s="51" t="n">
        <x:v>10850</x:v>
      </x:c>
      <x:c r="N51" s="51" t="n">
        <x:v>10850</x:v>
      </x:c>
      <x:c r="O51" s="50" t="str">
        <x:v>exata_para_premissas</x:v>
      </x:c>
      <x:c r="P51" s="50" t="str">
        <x:v>rf_regressiva_2026</x:v>
      </x:c>
      <x:c r="Q51" s="53" t="b">
        <x:v>1</x:v>
      </x:c>
      <x:c r="R51" s="53" t="b">
        <x:v>1</x:v>
      </x:c>
      <x:c r="S51" s="50" t="str">
        <x:v>A legislação de 2026 foi mantida como hipótese até o resgate.</x:v>
      </x:c>
      <x:c r="T51" s="50" t="str">
        <x:v>COE e debênture comum tratados pela tabela regressiva informada. | IOF aplicado antes do IR quando o prazo é inferior a 30 dias.</x:v>
      </x:c>
      <x:c r="U51" s="50" t="str">
        <x:v>https://www.gov.br/receitafederal/pt-br/assuntos/meu-imposto-de-renda/tabelas/2026</x:v>
      </x:c>
      <x:c r="V51" s="52" t="n">
        <x:v>46023</x:v>
      </x:c>
    </x:row>
    <x:row r="52">
      <x:c r="A52" s="50" t="str">
        <x:v>coe_180_dias</x:v>
      </x:c>
      <x:c r="B52" s="50" t="str">
        <x:v>estruturados</x:v>
      </x:c>
      <x:c r="C52" s="50" t="str">
        <x:v>VALIDADO_CALCULO</x:v>
      </x:c>
      <x:c r="D52" s="50" t="str">
        <x:v>coe</x:v>
      </x:c>
      <x:c r="E52" s="51" t="n">
        <x:v>10000</x:v>
      </x:c>
      <x:c r="F52" s="51" t="n">
        <x:v>11000</x:v>
      </x:c>
      <x:c r="G52" s="51" t="n">
        <x:f>MAX(0,F52-E52)</x:f>
        <x:v>1000</x:v>
      </x:c>
      <x:c r="H52" s="52" t="n">
        <x:v>46023</x:v>
      </x:c>
      <x:c r="I52" s="52" t="n">
        <x:v>46203</x:v>
      </x:c>
      <x:c r="J52" s="51" t="n">
        <x:v>225</x:v>
      </x:c>
      <x:c r="K52" s="51" t="n">
        <x:v>225</x:v>
      </x:c>
      <x:c r="L52" s="51" t="n">
        <x:f>K52-J52</x:f>
        <x:v>0</x:v>
      </x:c>
      <x:c r="M52" s="51" t="n">
        <x:v>10775</x:v>
      </x:c>
      <x:c r="N52" s="51" t="n">
        <x:v>10775</x:v>
      </x:c>
      <x:c r="O52" s="50" t="str">
        <x:v>exata_para_premissas</x:v>
      </x:c>
      <x:c r="P52" s="50" t="str">
        <x:v>rf_regressiva_2026</x:v>
      </x:c>
      <x:c r="Q52" s="53" t="b">
        <x:v>1</x:v>
      </x:c>
      <x:c r="R52" s="53" t="b">
        <x:v>1</x:v>
      </x:c>
      <x:c r="S52" s="50" t="str"/>
      <x:c r="T52" s="50" t="str">
        <x:v>COE e debênture comum tratados pela tabela regressiva informada. | IOF aplicado antes do IR quando o prazo é inferior a 30 dias.</x:v>
      </x:c>
      <x:c r="U52" s="50" t="str">
        <x:v>https://www.gov.br/receitafederal/pt-br/assuntos/meu-imposto-de-renda/tabelas/2026</x:v>
      </x:c>
      <x:c r="V52" s="52" t="n">
        <x:v>46023</x:v>
      </x:c>
    </x:row>
    <x:row r="53">
      <x:c r="A53" s="50" t="str">
        <x:v>coe_29_dias_com_iof</x:v>
      </x:c>
      <x:c r="B53" s="50" t="str">
        <x:v>estruturados</x:v>
      </x:c>
      <x:c r="C53" s="50" t="str">
        <x:v>VALIDADO_CALCULO</x:v>
      </x:c>
      <x:c r="D53" s="50" t="str">
        <x:v>coe</x:v>
      </x:c>
      <x:c r="E53" s="51" t="n">
        <x:v>10000</x:v>
      </x:c>
      <x:c r="F53" s="51" t="n">
        <x:v>11000</x:v>
      </x:c>
      <x:c r="G53" s="51" t="n">
        <x:f>MAX(0,F53-E53)</x:f>
        <x:v>1000</x:v>
      </x:c>
      <x:c r="H53" s="52" t="n">
        <x:v>46023</x:v>
      </x:c>
      <x:c r="I53" s="52" t="n">
        <x:v>46052</x:v>
      </x:c>
      <x:c r="J53" s="51" t="n">
        <x:v>248.25</x:v>
      </x:c>
      <x:c r="K53" s="51" t="n">
        <x:v>248.25</x:v>
      </x:c>
      <x:c r="L53" s="51" t="n">
        <x:f>K53-J53</x:f>
        <x:v>0</x:v>
      </x:c>
      <x:c r="M53" s="51" t="n">
        <x:v>10751.75</x:v>
      </x:c>
      <x:c r="N53" s="51" t="n">
        <x:v>10751.75</x:v>
      </x:c>
      <x:c r="O53" s="50" t="str">
        <x:v>exata_para_premissas</x:v>
      </x:c>
      <x:c r="P53" s="50" t="str">
        <x:v>rf_regressiva_2026</x:v>
      </x:c>
      <x:c r="Q53" s="53" t="b">
        <x:v>1</x:v>
      </x:c>
      <x:c r="R53" s="53" t="b">
        <x:v>1</x:v>
      </x:c>
      <x:c r="S53" s="50" t="str"/>
      <x:c r="T53" s="50" t="str">
        <x:v>COE e debênture comum tratados pela tabela regressiva informada. | IOF aplicado antes do IR quando o prazo é inferior a 30 dias.</x:v>
      </x:c>
      <x:c r="U53" s="50" t="str">
        <x:v>https://www.gov.br/receitafederal/pt-br/assuntos/meu-imposto-de-renda/tabelas/2026</x:v>
      </x:c>
      <x:c r="V53" s="52" t="n">
        <x:v>46023</x:v>
      </x:c>
    </x:row>
    <x:row r="54">
      <x:c r="A54" s="50" t="str">
        <x:v>cra_pessoa_juridica_nao_isenta</x:v>
      </x:c>
      <x:c r="B54" s="50" t="str">
        <x:v>estruturados</x:v>
      </x:c>
      <x:c r="C54" s="50" t="str">
        <x:v>FORA_DO_ESCOPO</x:v>
      </x:c>
      <x:c r="D54" s="50" t="str">
        <x:v>cra</x:v>
      </x:c>
      <x:c r="E54" s="51" t="n">
        <x:v>10000</x:v>
      </x:c>
      <x:c r="F54" s="51" t="n">
        <x:v>11000</x:v>
      </x:c>
      <x:c r="G54" s="51" t="n">
        <x:f>MAX(0,F54-E54)</x:f>
        <x:v>1000</x:v>
      </x:c>
      <x:c r="H54" s="52" t="n">
        <x:v>46023</x:v>
      </x:c>
      <x:c r="I54" s="52" t="n">
        <x:v>46744</x:v>
      </x:c>
      <x:c r="J54" s="51"/>
      <x:c r="K54" s="51"/>
      <x:c r="L54" s="51" t="n">
        <x:f>K54-J54</x:f>
        <x:v>0</x:v>
      </x:c>
      <x:c r="M54" s="51"/>
      <x:c r="N54" s="51"/>
      <x:c r="O54" s="50" t="str">
        <x:v>indeterminada</x:v>
      </x:c>
      <x:c r="P54" s="50" t="str">
        <x:v>pessoa_juridica_fora_escopo</x:v>
      </x:c>
      <x:c r="Q54" s="53" t="b">
        <x:v>1</x:v>
      </x:c>
      <x:c r="R54" s="53" t="b">
        <x:v>1</x:v>
      </x:c>
      <x:c r="S54" s="50" t="str">
        <x:v>A tributação da pessoa jurídica está fora do escopo.</x:v>
      </x:c>
      <x:c r="T54" s="50" t="str"/>
      <x:c r="U54" s="50" t="str">
        <x:v>https://www.gov.br/receitafederal/pt-br/assuntos/meu-imposto-de-renda/tabelas/2026</x:v>
      </x:c>
      <x:c r="V54" s="52" t="n">
        <x:v>46023</x:v>
      </x:c>
    </x:row>
    <x:row r="55">
      <x:c r="A55" s="50" t="str">
        <x:v>cri_sem_confirmacao_de_elegibilidade</x:v>
      </x:c>
      <x:c r="B55" s="50" t="str">
        <x:v>estruturados</x:v>
      </x:c>
      <x:c r="C55" s="50" t="str">
        <x:v>VALIDADO_GUARDRAIL</x:v>
      </x:c>
      <x:c r="D55" s="50" t="str">
        <x:v>cri</x:v>
      </x:c>
      <x:c r="E55" s="51" t="n">
        <x:v>10000</x:v>
      </x:c>
      <x:c r="F55" s="51" t="n">
        <x:v>11000</x:v>
      </x:c>
      <x:c r="G55" s="51" t="n">
        <x:f>MAX(0,F55-E55)</x:f>
        <x:v>1000</x:v>
      </x:c>
      <x:c r="H55" s="52" t="n">
        <x:v>46023</x:v>
      </x:c>
      <x:c r="I55" s="52" t="n">
        <x:v>46744</x:v>
      </x:c>
      <x:c r="J55" s="51"/>
      <x:c r="K55" s="51"/>
      <x:c r="L55" s="51" t="n">
        <x:f>K55-J55</x:f>
        <x:v>0</x:v>
      </x:c>
      <x:c r="M55" s="51"/>
      <x:c r="N55" s="51"/>
      <x:c r="O55" s="50" t="str">
        <x:v>indeterminada</x:v>
      </x:c>
      <x:c r="P55" s="50" t="str">
        <x:v>rf_isencao_elegibilidade_indeterminada</x:v>
      </x:c>
      <x:c r="Q55" s="53" t="b">
        <x:v>1</x:v>
      </x:c>
      <x:c r="R55" s="53" t="b">
        <x:v>1</x:v>
      </x:c>
      <x:c r="S55" s="50" t="str">
        <x:v>A elegibilidade legal do instrumento não foi confirmada.</x:v>
      </x:c>
      <x:c r="T55" s="50" t="str"/>
      <x:c r="U55" s="50" t="str">
        <x:v>https://www.planalto.gov.br/ccivil_03/_ato2004-2006/2004/lei/l11033compilado.htm</x:v>
      </x:c>
      <x:c r="V55" s="52" t="n">
        <x:v>46023</x:v>
      </x:c>
    </x:row>
    <x:row r="56">
      <x:c r="A56" s="50" t="str">
        <x:v>estruturado_generico_indeterminado</x:v>
      </x:c>
      <x:c r="B56" s="50" t="str">
        <x:v>estruturados</x:v>
      </x:c>
      <x:c r="C56" s="50" t="str">
        <x:v>VALIDADO_GUARDRAIL</x:v>
      </x:c>
      <x:c r="D56" s="50" t="str">
        <x:v>estruturado</x:v>
      </x:c>
      <x:c r="E56" s="51" t="n">
        <x:v>10000</x:v>
      </x:c>
      <x:c r="F56" s="51" t="n">
        <x:v>11000</x:v>
      </x:c>
      <x:c r="G56" s="51" t="n">
        <x:f>MAX(0,F56-E56)</x:f>
        <x:v>1000</x:v>
      </x:c>
      <x:c r="H56" s="52" t="n">
        <x:v>46023</x:v>
      </x:c>
      <x:c r="I56" s="52" t="n">
        <x:v>46744</x:v>
      </x:c>
      <x:c r="J56" s="51"/>
      <x:c r="K56" s="51"/>
      <x:c r="L56" s="51" t="n">
        <x:f>K56-J56</x:f>
        <x:v>0</x:v>
      </x:c>
      <x:c r="M56" s="51"/>
      <x:c r="N56" s="51"/>
      <x:c r="O56" s="50" t="str">
        <x:v>indeterminada</x:v>
      </x:c>
      <x:c r="P56" s="50" t="str">
        <x:v>estruturado_subtipo_indeterminado</x:v>
      </x:c>
      <x:c r="Q56" s="53" t="b">
        <x:v>1</x:v>
      </x:c>
      <x:c r="R56" s="53" t="b">
        <x:v>1</x:v>
      </x:c>
      <x:c r="S56" s="50" t="str">
        <x:v>O subtipo do produto estruturado não foi informado.</x:v>
      </x:c>
      <x:c r="T56" s="50" t="str"/>
      <x:c r="U56" s="50" t="str">
        <x:v>https://www.gov.br/receitafederal/pt-br/assuntos/meu-imposto-de-renda/tabelas/2026</x:v>
      </x:c>
      <x:c r="V56" s="52" t="n">
        <x:v>46023</x:v>
      </x:c>
    </x:row>
    <x:row r="57">
      <x:c r="A57" s="50" t="str">
        <x:v>cripto_sem_jurisdicao</x:v>
      </x:c>
      <x:c r="B57" s="50" t="str">
        <x:v>cripto</x:v>
      </x:c>
      <x:c r="C57" s="50" t="str">
        <x:v>VALIDADO_GUARDRAIL</x:v>
      </x:c>
      <x:c r="D57" s="50" t="str">
        <x:v>cripto</x:v>
      </x:c>
      <x:c r="E57" s="51" t="n">
        <x:v>10000</x:v>
      </x:c>
      <x:c r="F57" s="51" t="n">
        <x:v>11000</x:v>
      </x:c>
      <x:c r="G57" s="51" t="n">
        <x:f>MAX(0,F57-E57)</x:f>
        <x:v>1000</x:v>
      </x:c>
      <x:c r="H57" s="52" t="n">
        <x:v>46023</x:v>
      </x:c>
      <x:c r="I57" s="52" t="n">
        <x:v>46204</x:v>
      </x:c>
      <x:c r="J57" s="51"/>
      <x:c r="K57" s="51"/>
      <x:c r="L57" s="51" t="n">
        <x:f>K57-J57</x:f>
        <x:v>0</x:v>
      </x:c>
      <x:c r="M57" s="51"/>
      <x:c r="N57" s="51"/>
      <x:c r="O57" s="50" t="str">
        <x:v>indeterminada</x:v>
      </x:c>
      <x:c r="P57" s="50" t="str">
        <x:v>cripto_jurisdicao_indeterminada</x:v>
      </x:c>
      <x:c r="Q57" s="53" t="b">
        <x:v>1</x:v>
      </x:c>
      <x:c r="R57" s="53" t="b">
        <x:v>1</x:v>
      </x:c>
      <x:c r="S57" s="50" t="str">
        <x:v>A jurisdição de custódia não foi informada.</x:v>
      </x:c>
      <x:c r="T57" s="50" t="str">
        <x:v>O enquadramento depende da jurisdição.</x:v>
      </x:c>
      <x:c r="U57" s="50" t="str">
        <x:v>https://www.gov.br/receitafederal/pt-br/assuntos/meu-imposto-de-renda/pagamento/ganhos-de-capital/aliquotas</x:v>
      </x:c>
      <x:c r="V57" s="52" t="n">
        <x:v>46023</x:v>
      </x:c>
    </x:row>
    <x:row r="58">
      <x:c r="A58" s="50" t="str">
        <x:v>cripto_brasil_ganho_1000</x:v>
      </x:c>
      <x:c r="B58" s="50" t="str">
        <x:v>cripto</x:v>
      </x:c>
      <x:c r="C58" s="50" t="str">
        <x:v>VALIDADO_CALCULO</x:v>
      </x:c>
      <x:c r="D58" s="50" t="str">
        <x:v>cripto</x:v>
      </x:c>
      <x:c r="E58" s="51" t="n">
        <x:v>10000</x:v>
      </x:c>
      <x:c r="F58" s="51" t="n">
        <x:v>11000</x:v>
      </x:c>
      <x:c r="G58" s="51" t="n">
        <x:f>MAX(0,F58-E58)</x:f>
        <x:v>1000</x:v>
      </x:c>
      <x:c r="H58" s="52" t="n">
        <x:v>46023</x:v>
      </x:c>
      <x:c r="I58" s="52" t="n">
        <x:v>46204</x:v>
      </x:c>
      <x:c r="J58" s="51" t="n">
        <x:v>150</x:v>
      </x:c>
      <x:c r="K58" s="51" t="n">
        <x:v>150</x:v>
      </x:c>
      <x:c r="L58" s="51" t="n">
        <x:f>K58-J58</x:f>
        <x:v>0</x:v>
      </x:c>
      <x:c r="M58" s="51" t="n">
        <x:v>10850</x:v>
      </x:c>
      <x:c r="N58" s="51" t="n">
        <x:v>10850</x:v>
      </x:c>
      <x:c r="O58" s="50" t="str">
        <x:v>estimada</x:v>
      </x:c>
      <x:c r="P58" s="50" t="str">
        <x:v>cripto_ganho_capital_brasil_2026</x:v>
      </x:c>
      <x:c r="Q58" s="53" t="b">
        <x:v>1</x:v>
      </x:c>
      <x:c r="R58" s="53" t="b">
        <x:v>1</x:v>
      </x:c>
      <x:c r="S58" s="50" t="str"/>
      <x:c r="T58" s="50" t="str">
        <x:v>Faixas progressivas aplicadas sobre o ganho de capital.</x:v>
      </x:c>
      <x:c r="U58" s="50" t="str">
        <x:v>https://www.gov.br/receitafederal/pt-br/assuntos/meu-imposto-de-renda/pagamento/ganhos-de-capital/aliquotas</x:v>
      </x:c>
      <x:c r="V58" s="52" t="n">
        <x:v>46023</x:v>
      </x:c>
    </x:row>
    <x:row r="59">
      <x:c r="A59" s="50" t="str">
        <x:v>cripto_exterior_ganho_1000</x:v>
      </x:c>
      <x:c r="B59" s="50" t="str">
        <x:v>cripto</x:v>
      </x:c>
      <x:c r="C59" s="50" t="str">
        <x:v>PENDENTE_EVIDENCIA</x:v>
      </x:c>
      <x:c r="D59" s="50" t="str">
        <x:v>cripto</x:v>
      </x:c>
      <x:c r="E59" s="51" t="n">
        <x:v>10000</x:v>
      </x:c>
      <x:c r="F59" s="51" t="n">
        <x:v>11000</x:v>
      </x:c>
      <x:c r="G59" s="51" t="n">
        <x:f>MAX(0,F59-E59)</x:f>
        <x:v>1000</x:v>
      </x:c>
      <x:c r="H59" s="52" t="n">
        <x:v>46023</x:v>
      </x:c>
      <x:c r="I59" s="52" t="n">
        <x:v>46204</x:v>
      </x:c>
      <x:c r="J59" s="51" t="n">
        <x:v>150</x:v>
      </x:c>
      <x:c r="K59" s="51" t="n">
        <x:v>150</x:v>
      </x:c>
      <x:c r="L59" s="51" t="n">
        <x:f>K59-J59</x:f>
        <x:v>0</x:v>
      </x:c>
      <x:c r="M59" s="51" t="n">
        <x:v>10850</x:v>
      </x:c>
      <x:c r="N59" s="51" t="n">
        <x:v>10850</x:v>
      </x:c>
      <x:c r="O59" s="50" t="str">
        <x:v>estimada</x:v>
      </x:c>
      <x:c r="P59" s="50" t="str">
        <x:v>cripto_aplicacao_financeira_exterior_2026</x:v>
      </x:c>
      <x:c r="Q59" s="53" t="b">
        <x:v>1</x:v>
      </x:c>
      <x:c r="R59" s="53" t="b">
        <x:v>1</x:v>
      </x:c>
      <x:c r="S59" s="50" t="str">
        <x:v>O enquadramento informado deve ser confirmado por documento e revisão profissional.</x:v>
      </x:c>
      <x:c r="T59" s="50" t="str">
        <x:v>Alíquota anual de 15% para aplicação financeira exterior.</x:v>
      </x:c>
      <x:c r="U59" s="50" t="str">
        <x:v>https://normas.receita.fazenda.gov.br/sijut2consulta/link.action?idAto=136603</x:v>
      </x:c>
      <x:c r="V59" s="52" t="n">
        <x:v>46023</x:v>
      </x:c>
    </x:row>
    <x:row r="60">
      <x:c r="A60" s="50" t="str">
        <x:v>cripto_isencao_confirmada_externamente</x:v>
      </x:c>
      <x:c r="B60" s="50" t="str">
        <x:v>cripto</x:v>
      </x:c>
      <x:c r="C60" s="50" t="str">
        <x:v>PENDENTE_EVIDENCIA</x:v>
      </x:c>
      <x:c r="D60" s="50" t="str">
        <x:v>cripto</x:v>
      </x:c>
      <x:c r="E60" s="51" t="n">
        <x:v>10000</x:v>
      </x:c>
      <x:c r="F60" s="51" t="n">
        <x:v>11000</x:v>
      </x:c>
      <x:c r="G60" s="51" t="n">
        <x:f>MAX(0,F60-E60)</x:f>
        <x:v>1000</x:v>
      </x:c>
      <x:c r="H60" s="52" t="n">
        <x:v>46023</x:v>
      </x:c>
      <x:c r="I60" s="52" t="n">
        <x:v>46204</x:v>
      </x:c>
      <x:c r="J60" s="51" t="n">
        <x:v>0</x:v>
      </x:c>
      <x:c r="K60" s="51" t="n">
        <x:v>0</x:v>
      </x:c>
      <x:c r="L60" s="51" t="n">
        <x:f>K60-J60</x:f>
        <x:v>0</x:v>
      </x:c>
      <x:c r="M60" s="51" t="n">
        <x:v>11000</x:v>
      </x:c>
      <x:c r="N60" s="51" t="n">
        <x:v>11000</x:v>
      </x:c>
      <x:c r="O60" s="50" t="str">
        <x:v>estimada</x:v>
      </x:c>
      <x:c r="P60" s="50" t="str">
        <x:v>cripto_isencao_informada_2026</x:v>
      </x:c>
      <x:c r="Q60" s="53" t="b">
        <x:v>1</x:v>
      </x:c>
      <x:c r="R60" s="53" t="b">
        <x:v>1</x:v>
      </x:c>
      <x:c r="S60" s="50" t="str">
        <x:v>A isenção foi aceita como informação externa; anexar a memória jurídica que sustenta o enquadramento.</x:v>
      </x:c>
      <x:c r="T60" s="50" t="str">
        <x:v>O validador não cria automaticamente hipótese de isenção.</x:v>
      </x:c>
      <x:c r="U60" s="50" t="str">
        <x:v>https://www.gov.br/receitafederal/pt-br/assuntos/meu-imposto-de-renda/pagamento/ganhos-de-capital/aliquotas</x:v>
      </x:c>
      <x:c r="V60" s="52" t="n">
        <x:v>46023</x:v>
      </x:c>
    </x:row>
    <x:row r="61">
      <x:c r="A61" s="50" t="str">
        <x:v>cripto_sem_ganho</x:v>
      </x:c>
      <x:c r="B61" s="50" t="str">
        <x:v>cripto</x:v>
      </x:c>
      <x:c r="C61" s="50" t="str">
        <x:v>VALIDADO_CALCULO</x:v>
      </x:c>
      <x:c r="D61" s="50" t="str">
        <x:v>cripto</x:v>
      </x:c>
      <x:c r="E61" s="51" t="n">
        <x:v>10000</x:v>
      </x:c>
      <x:c r="F61" s="51" t="n">
        <x:v>10000</x:v>
      </x:c>
      <x:c r="G61" s="51" t="n">
        <x:f>MAX(0,F61-E61)</x:f>
        <x:v>0</x:v>
      </x:c>
      <x:c r="H61" s="52" t="n">
        <x:v>46023</x:v>
      </x:c>
      <x:c r="I61" s="52" t="n">
        <x:v>46204</x:v>
      </x:c>
      <x:c r="J61" s="51" t="n">
        <x:v>0</x:v>
      </x:c>
      <x:c r="K61" s="51" t="n">
        <x:v>0</x:v>
      </x:c>
      <x:c r="L61" s="51" t="n">
        <x:f>K61-J61</x:f>
        <x:v>0</x:v>
      </x:c>
      <x:c r="M61" s="51" t="n">
        <x:v>10000</x:v>
      </x:c>
      <x:c r="N61" s="51" t="n">
        <x:v>10000</x:v>
      </x:c>
      <x:c r="O61" s="50" t="str">
        <x:v>estimada</x:v>
      </x:c>
      <x:c r="P61" s="50" t="str">
        <x:v>cripto_ganho_capital_brasil_2026</x:v>
      </x:c>
      <x:c r="Q61" s="53" t="b">
        <x:v>1</x:v>
      </x:c>
      <x:c r="R61" s="53" t="b">
        <x:v>1</x:v>
      </x:c>
      <x:c r="S61" s="50" t="str"/>
      <x:c r="T61" s="50" t="str">
        <x:v>Faixas progressivas aplicadas sobre o ganho de capital.</x:v>
      </x:c>
      <x:c r="U61" s="50" t="str">
        <x:v>https://www.gov.br/receitafederal/pt-br/assuntos/meu-imposto-de-renda/pagamento/ganhos-de-capital/aliquotas</x:v>
      </x:c>
      <x:c r="V61" s="52" t="n">
        <x:v>46023</x:v>
      </x:c>
    </x:row>
    <x:row r="62">
      <x:c r="A62" s="50" t="str">
        <x:v>cripto_ganho_acumulado_cruza_5_milhoes</x:v>
      </x:c>
      <x:c r="B62" s="50" t="str">
        <x:v>cripto</x:v>
      </x:c>
      <x:c r="C62" s="50" t="str">
        <x:v>PENDENTE_EVIDENCIA</x:v>
      </x:c>
      <x:c r="D62" s="50" t="str">
        <x:v>cripto</x:v>
      </x:c>
      <x:c r="E62" s="51" t="n">
        <x:v>10000000</x:v>
      </x:c>
      <x:c r="F62" s="51" t="n">
        <x:v>12000000</x:v>
      </x:c>
      <x:c r="G62" s="51" t="n">
        <x:f>MAX(0,F62-E62)</x:f>
        <x:v>2000000</x:v>
      </x:c>
      <x:c r="H62" s="52" t="n">
        <x:v>46023</x:v>
      </x:c>
      <x:c r="I62" s="52" t="n">
        <x:v>46204</x:v>
      </x:c>
      <x:c r="J62" s="51" t="n">
        <x:v>325000</x:v>
      </x:c>
      <x:c r="K62" s="51" t="n">
        <x:v>325000</x:v>
      </x:c>
      <x:c r="L62" s="51" t="n">
        <x:f>K62-J62</x:f>
        <x:v>0</x:v>
      </x:c>
      <x:c r="M62" s="51" t="n">
        <x:v>11675000</x:v>
      </x:c>
      <x:c r="N62" s="51" t="n">
        <x:v>11675000</x:v>
      </x:c>
      <x:c r="O62" s="50" t="str">
        <x:v>estimada</x:v>
      </x:c>
      <x:c r="P62" s="50" t="str">
        <x:v>cripto_ganho_capital_brasil_2026</x:v>
      </x:c>
      <x:c r="Q62" s="53" t="b">
        <x:v>1</x:v>
      </x:c>
      <x:c r="R62" s="53" t="b">
        <x:v>1</x:v>
      </x:c>
      <x:c r="S62" s="50" t="str">
        <x:v>A identidade do bem e o período de agregação foram aceitos como informados; anexar memória de alienações.</x:v>
      </x:c>
      <x:c r="T62" s="50" t="str">
        <x:v>Faixas progressivas aplicadas sobre o ganho de capital.</x:v>
      </x:c>
      <x:c r="U62" s="50" t="str">
        <x:v>https://www.gov.br/receitafederal/pt-br/assuntos/meu-imposto-de-renda/pagamento/ganhos-de-capital/aliquotas</x:v>
      </x:c>
      <x:c r="V62" s="52" t="n">
        <x:v>46023</x:v>
      </x:c>
    </x:row>
    <x:row r="63">
      <x:c r="A63" s="50" t="str">
        <x:v>cripto_ganho_total_5_milhoes</x:v>
      </x:c>
      <x:c r="B63" s="50" t="str">
        <x:v>cripto</x:v>
      </x:c>
      <x:c r="C63" s="50" t="str">
        <x:v>VALIDADO_CALCULO</x:v>
      </x:c>
      <x:c r="D63" s="50" t="str">
        <x:v>cripto</x:v>
      </x:c>
      <x:c r="E63" s="51" t="n">
        <x:v>1000000</x:v>
      </x:c>
      <x:c r="F63" s="51" t="n">
        <x:v>6000000</x:v>
      </x:c>
      <x:c r="G63" s="51" t="n">
        <x:f>MAX(0,F63-E63)</x:f>
        <x:v>5000000</x:v>
      </x:c>
      <x:c r="H63" s="52" t="n">
        <x:v>46023</x:v>
      </x:c>
      <x:c r="I63" s="52" t="n">
        <x:v>46204</x:v>
      </x:c>
      <x:c r="J63" s="51" t="n">
        <x:v>750000</x:v>
      </x:c>
      <x:c r="K63" s="51" t="n">
        <x:v>750000</x:v>
      </x:c>
      <x:c r="L63" s="51" t="n">
        <x:f>K63-J63</x:f>
        <x:v>0</x:v>
      </x:c>
      <x:c r="M63" s="51" t="n">
        <x:v>5250000</x:v>
      </x:c>
      <x:c r="N63" s="51" t="n">
        <x:v>5250000</x:v>
      </x:c>
      <x:c r="O63" s="50" t="str">
        <x:v>estimada</x:v>
      </x:c>
      <x:c r="P63" s="50" t="str">
        <x:v>cripto_ganho_capital_brasil_2026</x:v>
      </x:c>
      <x:c r="Q63" s="53" t="b">
        <x:v>1</x:v>
      </x:c>
      <x:c r="R63" s="53" t="b">
        <x:v>1</x:v>
      </x:c>
      <x:c r="S63" s="50" t="str"/>
      <x:c r="T63" s="50" t="str">
        <x:v>Faixas progressivas aplicadas sobre o ganho de capital.</x:v>
      </x:c>
      <x:c r="U63" s="50" t="str">
        <x:v>https://www.gov.br/receitafederal/pt-br/assuntos/meu-imposto-de-renda/pagamento/ganhos-de-capital/aliquotas</x:v>
      </x:c>
      <x:c r="V63" s="52" t="n">
        <x:v>46023</x:v>
      </x:c>
    </x:row>
    <x:row r="64">
      <x:c r="A64" s="50" t="str">
        <x:v>cripto_ganho_total_12_milhoes</x:v>
      </x:c>
      <x:c r="B64" s="50" t="str">
        <x:v>cripto</x:v>
      </x:c>
      <x:c r="C64" s="50" t="str">
        <x:v>VALIDADO_CALCULO</x:v>
      </x:c>
      <x:c r="D64" s="50" t="str">
        <x:v>cripto</x:v>
      </x:c>
      <x:c r="E64" s="51" t="n">
        <x:v>1000000</x:v>
      </x:c>
      <x:c r="F64" s="51" t="n">
        <x:v>13000000</x:v>
      </x:c>
      <x:c r="G64" s="51" t="n">
        <x:f>MAX(0,F64-E64)</x:f>
        <x:v>12000000</x:v>
      </x:c>
      <x:c r="H64" s="52" t="n">
        <x:v>46023</x:v>
      </x:c>
      <x:c r="I64" s="52" t="n">
        <x:v>46204</x:v>
      </x:c>
      <x:c r="J64" s="51" t="n">
        <x:v>2025000</x:v>
      </x:c>
      <x:c r="K64" s="51" t="n">
        <x:v>2025000</x:v>
      </x:c>
      <x:c r="L64" s="51" t="n">
        <x:f>K64-J64</x:f>
        <x:v>0</x:v>
      </x:c>
      <x:c r="M64" s="51" t="n">
        <x:v>10975000</x:v>
      </x:c>
      <x:c r="N64" s="51" t="n">
        <x:v>10975000</x:v>
      </x:c>
      <x:c r="O64" s="50" t="str">
        <x:v>estimada</x:v>
      </x:c>
      <x:c r="P64" s="50" t="str">
        <x:v>cripto_ganho_capital_brasil_2026</x:v>
      </x:c>
      <x:c r="Q64" s="53" t="b">
        <x:v>1</x:v>
      </x:c>
      <x:c r="R64" s="53" t="b">
        <x:v>1</x:v>
      </x:c>
      <x:c r="S64" s="50" t="str"/>
      <x:c r="T64" s="50" t="str">
        <x:v>Faixas progressivas aplicadas sobre o ganho de capital.</x:v>
      </x:c>
      <x:c r="U64" s="50" t="str">
        <x:v>https://www.gov.br/receitafederal/pt-br/assuntos/meu-imposto-de-renda/pagamento/ganhos-de-capital/aliquotas</x:v>
      </x:c>
      <x:c r="V64" s="52" t="n">
        <x:v>46023</x:v>
      </x:c>
    </x:row>
  </x:sheetData>
  <x:conditionalFormatting sqref="C2:C64">
    <x:cfRule type="containsText" dxfId="1" priority="1" operator="containsText" text="VALIDADO"/>
    <x:cfRule type="containsText" dxfId="2" priority="2" operator="containsText" text="PENDENTE"/>
    <x:cfRule type="containsText" dxfId="3" priority="3" operator="containsText" text="DIVERGENTE"/>
  </x:conditionalFormatting>
  <x:pageMargins left="0.7" right="0.7" top="0.75" bottom="0.75" header="0.3" footer="0.3"/>
  <x:tableParts count="1">
    <x:tablePart xmlns:r="http://schemas.openxmlformats.org/officeDocument/2006/relationships" r:id="Rbb66193ae9a240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8" hidden="0" customWidth="1"/>
    <x:col min="3" max="3" width="85" hidden="0" customWidth="1"/>
    <x:col min="4" max="4" width="16" hidden="0" customWidth="1"/>
    <x:col min="5" max="5" width="16" hidden="0" customWidth="1"/>
    <x:col min="6" max="6" width="36" hidden="0" customWidth="1"/>
    <x:col min="7" max="7" width="34" hidden="0" customWidth="1"/>
  </x:cols>
  <x:sheetData>
    <x:row r="1" ht="32" customHeight="1">
      <x:c r="A1" s="4" t="str">
        <x:v>Registro de fontes oficiais</x:v>
      </x:c>
      <x:c r="B1" s="4" t="str">
        <x:v>Registro de fontes oficiais</x:v>
      </x:c>
      <x:c r="C1" s="4" t="str">
        <x:v>Registro de fontes oficiais</x:v>
      </x:c>
      <x:c r="D1" s="4" t="str">
        <x:v>Registro de fontes oficiais</x:v>
      </x:c>
      <x:c r="E1" s="4" t="str">
        <x:v>Registro de fontes oficiais</x:v>
      </x:c>
      <x:c r="F1" s="4" t="str">
        <x:v>Registro de fontes oficiais</x:v>
      </x:c>
      <x:c r="G1" s="4" t="str">
        <x:v>Registro de fontes oficiais</x:v>
      </x:c>
    </x:row>
    <x:row r="2" ht="32" customHeight="1">
      <x:c r="A2" s="4" t="str">
        <x:v>Registro de fontes oficiais</x:v>
      </x:c>
      <x:c r="B2" s="4" t="str">
        <x:v>Registro de fontes oficiais</x:v>
      </x:c>
      <x:c r="C2" s="4" t="str">
        <x:v>Registro de fontes oficiais</x:v>
      </x:c>
      <x:c r="D2" s="4" t="str">
        <x:v>Registro de fontes oficiais</x:v>
      </x:c>
      <x:c r="E2" s="4" t="str">
        <x:v>Registro de fontes oficiais</x:v>
      </x:c>
      <x:c r="F2" s="4" t="str">
        <x:v>Registro de fontes oficiais</x:v>
      </x:c>
      <x:c r="G2" s="4" t="str">
        <x:v>Registro de fontes oficiais</x:v>
      </x:c>
    </x:row>
    <x:row r="4">
      <x:c r="A4" s="12" t="str">
        <x:v>ID</x:v>
      </x:c>
      <x:c r="B4" s="42" t="str">
        <x:v>Autoridade</x:v>
      </x:c>
      <x:c r="C4" s="42" t="str">
        <x:v>URL</x:v>
      </x:c>
      <x:c r="D4" s="42" t="str">
        <x:v>Vigência inicial</x:v>
      </x:c>
      <x:c r="E4" s="42" t="str">
        <x:v>Consultada em</x:v>
      </x:c>
      <x:c r="F4" s="42" t="str">
        <x:v>Escopo</x:v>
      </x:c>
      <x:c r="G4" s="13" t="str">
        <x:v>Revisão humana</x:v>
      </x:c>
    </x:row>
    <x:row r="5">
      <x:c r="A5" s="46" t="str">
        <x:v>receita_tabelas_2026</x:v>
      </x:c>
      <x:c r="B5" s="46" t="str">
        <x:v>Receita Federal do Brasil</x:v>
      </x:c>
      <x:c r="C5" s="55" t="str">
        <x:v>https://www.gov.br/receitafederal/pt-br/assuntos/meu-imposto-de-renda/tabelas/2026</x:v>
      </x:c>
      <x:c r="D5" s="48" t="n">
        <x:v>46023</x:v>
      </x:c>
      <x:c r="E5" s="48" t="n">
        <x:v>46239</x:v>
      </x:c>
      <x:c r="F5" s="46" t="str">
        <x:v>renda_fixa, fundos, previdencia, estruturados</x:v>
      </x:c>
      <x:c r="G5" s="46" t="str">
        <x:v>pendente_revisao_profissional</x:v>
      </x:c>
    </x:row>
    <x:row r="6">
      <x:c r="A6" s="46" t="str">
        <x:v>decreto_iof_6306_2007</x:v>
      </x:c>
      <x:c r="B6" s="46" t="str">
        <x:v>Presidência da República</x:v>
      </x:c>
      <x:c r="C6" s="55" t="str">
        <x:v>https://www.planalto.gov.br/ccivil_03/_ato2007-2010/2007/decreto/d6306.htm</x:v>
      </x:c>
      <x:c r="D6" s="48" t="n">
        <x:v>39430</x:v>
      </x:c>
      <x:c r="E6" s="48" t="n">
        <x:v>46239</x:v>
      </x:c>
      <x:c r="F6" s="46" t="str">
        <x:v>renda_fixa, fundos, estruturados</x:v>
      </x:c>
      <x:c r="G6" s="46" t="str">
        <x:v>pendente_revisao_profissional</x:v>
      </x:c>
    </x:row>
    <x:row r="7">
      <x:c r="A7" s="46" t="str">
        <x:v>lei_11033_2004</x:v>
      </x:c>
      <x:c r="B7" s="46" t="str">
        <x:v>Presidência da República</x:v>
      </x:c>
      <x:c r="C7" s="55" t="str">
        <x:v>https://www.planalto.gov.br/ccivil_03/_ato2004-2006/2004/lei/l11033compilado.htm</x:v>
      </x:c>
      <x:c r="D7" s="48" t="n">
        <x:v>38343</x:v>
      </x:c>
      <x:c r="E7" s="48" t="n">
        <x:v>46239</x:v>
      </x:c>
      <x:c r="F7" s="46" t="str">
        <x:v>renda_fixa, estruturados</x:v>
      </x:c>
      <x:c r="G7" s="46" t="str">
        <x:v>pendente_revisao_profissional</x:v>
      </x:c>
    </x:row>
    <x:row r="8">
      <x:c r="A8" s="46" t="str">
        <x:v>lei_12431_2011</x:v>
      </x:c>
      <x:c r="B8" s="46" t="str">
        <x:v>Presidência da República</x:v>
      </x:c>
      <x:c r="C8" s="55" t="str">
        <x:v>https://www.planalto.gov.br/ccivil_03/_ato2011-2014/2011/lei/l12431.htm</x:v>
      </x:c>
      <x:c r="D8" s="48" t="n">
        <x:v>40718</x:v>
      </x:c>
      <x:c r="E8" s="48" t="n">
        <x:v>46239</x:v>
      </x:c>
      <x:c r="F8" s="46" t="str">
        <x:v>estruturados</x:v>
      </x:c>
      <x:c r="G8" s="46" t="str">
        <x:v>pendente_revisao_profissional</x:v>
      </x:c>
    </x:row>
    <x:row r="9">
      <x:c r="A9" s="46" t="str">
        <x:v>lei_14754_2023</x:v>
      </x:c>
      <x:c r="B9" s="46" t="str">
        <x:v>Presidência da República</x:v>
      </x:c>
      <x:c r="C9" s="55" t="str">
        <x:v>https://www.planalto.gov.br/ccivil_03/_ato2023-2026/2023/lei/l14754.htm</x:v>
      </x:c>
      <x:c r="D9" s="48" t="n">
        <x:v>45292</x:v>
      </x:c>
      <x:c r="E9" s="48" t="n">
        <x:v>46239</x:v>
      </x:c>
      <x:c r="F9" s="46" t="str">
        <x:v>fundos, cripto</x:v>
      </x:c>
      <x:c r="G9" s="46" t="str">
        <x:v>pendente_revisao_profissional</x:v>
      </x:c>
    </x:row>
    <x:row r="10">
      <x:c r="A10" s="46" t="str">
        <x:v>receita_pgbl_vgbl</x:v>
      </x:c>
      <x:c r="B10" s="46" t="str">
        <x:v>Receita Federal do Brasil</x:v>
      </x:c>
      <x:c r="C10" s="55" t="str">
        <x:v>https://www.gov.br/receitafederal/pt-br/acesso-a-informacao/perguntas-frequentes/imposto-de-renda/dirpf/declaracao/pgvl-vgbl</x:v>
      </x:c>
      <x:c r="D10" s="48" t="n">
        <x:v>44623</x:v>
      </x:c>
      <x:c r="E10" s="48" t="n">
        <x:v>46239</x:v>
      </x:c>
      <x:c r="F10" s="46" t="str">
        <x:v>previdencia</x:v>
      </x:c>
      <x:c r="G10" s="46" t="str">
        <x:v>pendente_revisao_profissional</x:v>
      </x:c>
    </x:row>
    <x:row r="11">
      <x:c r="A11" s="46" t="str">
        <x:v>previdencia_faq</x:v>
      </x:c>
      <x:c r="B11" s="46" t="str">
        <x:v>Ministério da Previdência Social</x:v>
      </x:c>
      <x:c r="C11" s="55" t="str">
        <x:v>https://www.gov.br/previdencia/pt-br/assuntos/previdencia-complementar/mais-informacoes/perguntas-frequentes-de-previdencia-complementar</x:v>
      </x:c>
      <x:c r="D11" s="48" t="n">
        <x:v>44197</x:v>
      </x:c>
      <x:c r="E11" s="48" t="n">
        <x:v>46239</x:v>
      </x:c>
      <x:c r="F11" s="46" t="str">
        <x:v>previdencia</x:v>
      </x:c>
      <x:c r="G11" s="46" t="str">
        <x:v>pendente_revisao_profissional</x:v>
      </x:c>
    </x:row>
    <x:row r="12">
      <x:c r="A12" s="46" t="str">
        <x:v>receita_renda_variavel</x:v>
      </x:c>
      <x:c r="B12" s="46" t="str">
        <x:v>Receita Federal do Brasil</x:v>
      </x:c>
      <x:c r="C12" s="55" t="str">
        <x:v>https://www.gov.br/receitafederal/pt-br/assuntos/meu-imposto-de-renda/pagamento/renda-variavel/bolsa-de-valores-1</x:v>
      </x:c>
      <x:c r="D12" s="48" t="n">
        <x:v>45292</x:v>
      </x:c>
      <x:c r="E12" s="48" t="n">
        <x:v>46239</x:v>
      </x:c>
      <x:c r="F12" s="46" t="str">
        <x:v>renda_variavel</x:v>
      </x:c>
      <x:c r="G12" s="46" t="str">
        <x:v>pendente_revisao_profissional</x:v>
      </x:c>
    </x:row>
    <x:row r="13">
      <x:c r="A13" s="46" t="str">
        <x:v>servico_revar</x:v>
      </x:c>
      <x:c r="B13" s="46" t="str">
        <x:v>Receita Federal do Brasil</x:v>
      </x:c>
      <x:c r="C13" s="55" t="str">
        <x:v>https://www.gov.br/pt-br/servicos/apurar-imposto-sobre-renda-variavel</x:v>
      </x:c>
      <x:c r="D13" s="48" t="n">
        <x:v>45292</x:v>
      </x:c>
      <x:c r="E13" s="48" t="n">
        <x:v>46239</x:v>
      </x:c>
      <x:c r="F13" s="46" t="str">
        <x:v>renda_variavel</x:v>
      </x:c>
      <x:c r="G13" s="46" t="str">
        <x:v>pendente_revisao_profissional</x:v>
      </x:c>
    </x:row>
    <x:row r="14">
      <x:c r="A14" s="46" t="str">
        <x:v>receita_aliquotas_ganho_capital</x:v>
      </x:c>
      <x:c r="B14" s="46" t="str">
        <x:v>Receita Federal do Brasil</x:v>
      </x:c>
      <x:c r="C14" s="55" t="str">
        <x:v>https://www.gov.br/receitafederal/pt-br/assuntos/meu-imposto-de-renda/pagamento/ganhos-de-capital/aliquotas</x:v>
      </x:c>
      <x:c r="D14" s="48" t="n">
        <x:v>42736</x:v>
      </x:c>
      <x:c r="E14" s="48" t="n">
        <x:v>46239</x:v>
      </x:c>
      <x:c r="F14" s="46" t="str">
        <x:v>cripto</x:v>
      </x:c>
      <x:c r="G14" s="46" t="str">
        <x:v>pendente_revisao_profissional</x:v>
      </x:c>
    </x:row>
    <x:row r="15">
      <x:c r="A15" s="46" t="str">
        <x:v>lei_13259_2016</x:v>
      </x:c>
      <x:c r="B15" s="46" t="str">
        <x:v>Presidência da República</x:v>
      </x:c>
      <x:c r="C15" s="55" t="str">
        <x:v>https://www.planalto.gov.br/ccivil_03/_ato2015-2018/2016/lei/l13259.htm</x:v>
      </x:c>
      <x:c r="D15" s="48" t="n">
        <x:v>42736</x:v>
      </x:c>
      <x:c r="E15" s="48" t="n">
        <x:v>46239</x:v>
      </x:c>
      <x:c r="F15" s="46" t="str">
        <x:v>cripto</x:v>
      </x:c>
      <x:c r="G15" s="46" t="str">
        <x:v>pendente_revisao_profissional</x:v>
      </x:c>
    </x:row>
    <x:row r="16">
      <x:c r="A16" s="46" t="str">
        <x:v>in_rfb_2180_2024</x:v>
      </x:c>
      <x:c r="B16" s="46" t="str">
        <x:v>Receita Federal do Brasil</x:v>
      </x:c>
      <x:c r="C16" s="55" t="str">
        <x:v>https://normas.receita.fazenda.gov.br/sijut2consulta/link.action?idAto=136603</x:v>
      </x:c>
      <x:c r="D16" s="48" t="n">
        <x:v>45292</x:v>
      </x:c>
      <x:c r="E16" s="48" t="n">
        <x:v>46239</x:v>
      </x:c>
      <x:c r="F16" s="46" t="str">
        <x:v>cripto</x:v>
      </x:c>
      <x:c r="G16" s="46" t="str">
        <x:v>pendente_revisao_profissional</x:v>
      </x:c>
    </x:row>
    <x:row r="17">
      <x:c r="A17" s="46" t="str">
        <x:v>receita_fundos</x:v>
      </x:c>
      <x:c r="B17" s="46" t="str">
        <x:v>Receita Federal do Brasil</x:v>
      </x:c>
      <x:c r="C17" s="55" t="str">
        <x:v>https://www.gov.br/receitafederal/pt-br/assuntos/meu-imposto-de-renda/pagamento/renda-variavel/fundos-de-investimento-no-brasil</x:v>
      </x:c>
      <x:c r="D17" s="48" t="n">
        <x:v>45292</x:v>
      </x:c>
      <x:c r="E17" s="48" t="n">
        <x:v>46239</x:v>
      </x:c>
      <x:c r="F17" s="46" t="str">
        <x:v>fundos</x:v>
      </x:c>
      <x:c r="G17" s="46" t="str">
        <x:v>pendente_revisao_profissional</x:v>
      </x:c>
    </x:row>
    <x:row r="18">
      <x:c r="A18" s="46" t="str">
        <x:v>susep_vgbl_iof</x:v>
      </x:c>
      <x:c r="B18" s="46" t="str">
        <x:v>Superintendência de Seguros Privados</x:v>
      </x:c>
      <x:c r="C18" s="55" t="str">
        <x:v>https://www.gov.br/susep/pt-br/central-de-conteudos/noticias/2025/junho/novo-decreto-atualiza-regra-de-iof-para-planos-vgbl</x:v>
      </x:c>
      <x:c r="D18" s="48" t="n">
        <x:v>46023</x:v>
      </x:c>
      <x:c r="E18" s="48" t="n">
        <x:v>46239</x:v>
      </x:c>
      <x:c r="F18" s="46" t="str">
        <x:v>previdencia, projecoes</x:v>
      </x:c>
      <x:c r="G18" s="46" t="str">
        <x:v>pendente_revisao_profissional</x:v>
      </x:c>
    </x:row>
    <x:row r="19">
      <x:c r="A19" s="46" t="str">
        <x:v>b3_calendario_2026</x:v>
      </x:c>
      <x:c r="B19" s="46" t="str">
        <x:v>B3 S.A. — Brasil, Bolsa, Balcão</x:v>
      </x:c>
      <x:c r="C19" s="55" t="str">
        <x:v>https://www.b3.com.br/pt_br/noticias/calendario-de-negociacao-da-b3-confira-o-funcionamento-da-bolsa-em-2026.htm</x:v>
      </x:c>
      <x:c r="D19" s="48" t="n">
        <x:v>46023</x:v>
      </x:c>
      <x:c r="E19" s="48" t="n">
        <x:v>46239</x:v>
      </x:c>
      <x:c r="F19" s="46" t="str">
        <x:v>fundos, come_cotas, calendarios</x:v>
      </x:c>
      <x:c r="G19" s="46" t="str">
        <x:v>pendente_revisao_profissional</x:v>
      </x:c>
    </x:row>
    <x:row r="20">
      <x:c r="A20" s="46" t="str">
        <x:v>receita_dirpf</x:v>
      </x:c>
      <x:c r="B20" s="46" t="str">
        <x:v>Receita Federal do Brasil</x:v>
      </x:c>
      <x:c r="C20" s="55" t="str">
        <x:v>https://www.gov.br/receitafederal/pt-br/acesso-a-informacao/perguntas-frequentes/imposto-de-renda/dirpf</x:v>
      </x:c>
      <x:c r="D20" s="48" t="n">
        <x:v>46023</x:v>
      </x:c>
      <x:c r="E20" s="48" t="n">
        <x:v>46239</x:v>
      </x:c>
      <x:c r="F20" s="46" t="str">
        <x:v>renda_variavel, cripto</x:v>
      </x:c>
      <x:c r="G20" s="46" t="str">
        <x:v>pendente_revisao_profissional</x:v>
      </x:c>
    </x:row>
  </x:sheetData>
  <x:mergeCells>
    <x:mergeCell ref="A1:G2"/>
  </x:mergeCells>
  <x:pageMargins left="0.7" right="0.7" top="0.75" bottom="0.75" header="0.3" footer="0.3"/>
  <x:tableParts count="1">
    <x:tablePart xmlns:r="http://schemas.openxmlformats.org/officeDocument/2006/relationships" r:id="R9530db6f85814e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6" hidden="0" customWidth="1"/>
    <x:col min="7" max="7" width="70" hidden="0" customWidth="1"/>
  </x:cols>
  <x:sheetData>
    <x:row r="1" ht="32" customHeight="1">
      <x:c r="A1" s="4" t="str">
        <x:v>Checks de integridade e governança</x:v>
      </x:c>
      <x:c r="B1" s="4" t="str">
        <x:v>Checks de integridade e governança</x:v>
      </x:c>
      <x:c r="C1" s="4" t="str">
        <x:v>Checks de integridade e governança</x:v>
      </x:c>
      <x:c r="D1" s="4" t="str">
        <x:v>Checks de integridade e governança</x:v>
      </x:c>
      <x:c r="E1" s="4" t="str">
        <x:v>Checks de integridade e governança</x:v>
      </x:c>
      <x:c r="F1" s="4" t="str">
        <x:v>Checks de integridade e governança</x:v>
      </x:c>
      <x:c r="G1" s="4" t="str">
        <x:v>Checks de integridade e governança</x:v>
      </x:c>
    </x:row>
    <x:row r="2" ht="32" customHeight="1">
      <x:c r="A2" s="4" t="str">
        <x:v>Checks de integridade e governança</x:v>
      </x:c>
      <x:c r="B2" s="4" t="str">
        <x:v>Checks de integridade e governança</x:v>
      </x:c>
      <x:c r="C2" s="4" t="str">
        <x:v>Checks de integridade e governança</x:v>
      </x:c>
      <x:c r="D2" s="4" t="str">
        <x:v>Checks de integridade e governança</x:v>
      </x:c>
      <x:c r="E2" s="4" t="str">
        <x:v>Checks de integridade e governança</x:v>
      </x:c>
      <x:c r="F2" s="4" t="str">
        <x:v>Checks de integridade e governança</x:v>
      </x:c>
      <x:c r="G2" s="4" t="str">
        <x:v>Checks de integridade e governança</x:v>
      </x:c>
    </x:row>
    <x:row r="4">
      <x:c r="A4" s="12" t="str">
        <x:v>Check</x:v>
      </x:c>
      <x:c r="B4" s="42" t="str">
        <x:v>Atual</x:v>
      </x:c>
      <x:c r="C4" s="42" t="str">
        <x:v>Esperado</x:v>
      </x:c>
      <x:c r="D4" s="42" t="str">
        <x:v>Diferença</x:v>
      </x:c>
      <x:c r="E4" s="42" t="str">
        <x:v>Tolerância</x:v>
      </x:c>
      <x:c r="F4" s="42" t="str">
        <x:v>Status</x:v>
      </x:c>
      <x:c r="G4" s="13" t="str">
        <x:v>Notas</x:v>
      </x:c>
    </x:row>
    <x:row r="5">
      <x:c r="A5" s="46" t="str">
        <x:v>Total de casos</x:v>
      </x:c>
      <x:c r="B5" s="56" t="n">
        <x:f>'Resumo'!B14</x:f>
        <x:v>63</x:v>
      </x:c>
      <x:c r="C5" s="46" t="n">
        <x:v>63</x:v>
      </x:c>
      <x:c r="D5" s="46" t="n">
        <x:f>B5-C5</x:f>
        <x:v>0</x:v>
      </x:c>
      <x:c r="E5" s="46" t="n">
        <x:v>0</x:v>
      </x:c>
      <x:c r="F5" s="46" t="str">
        <x:f>IF(ABS(D5)&lt;=E5,"OK","FALHA")</x:f>
        <x:v>OK</x:v>
      </x:c>
      <x:c r="G5" s="46" t="str">
        <x:v>Todos os casos das seis fixtures devem aparecer.</x:v>
      </x:c>
    </x:row>
    <x:row r="6">
      <x:c r="A6" s="46" t="str">
        <x:v>Divergências</x:v>
      </x:c>
      <x:c r="B6" s="56" t="n">
        <x:f>'Resumo'!B15</x:f>
        <x:v>0</x:v>
      </x:c>
      <x:c r="C6" s="46" t="n">
        <x:v>0</x:v>
      </x:c>
      <x:c r="D6" s="46" t="n">
        <x:f>B6-C6</x:f>
        <x:v>0</x:v>
      </x:c>
      <x:c r="E6" s="46" t="n">
        <x:v>0</x:v>
      </x:c>
      <x:c r="F6" s="46" t="str">
        <x:f>IF(ABS(D6)&lt;=E6,"OK","FALHA")</x:f>
        <x:v>OK</x:v>
      </x:c>
      <x:c r="G6" s="46" t="str">
        <x:v>Qualquer divergência interrompe o CI.</x:v>
      </x:c>
    </x:row>
    <x:row r="7">
      <x:c r="A7" s="46" t="str">
        <x:v>Fontes estruturadas válidas</x:v>
      </x:c>
      <x:c r="B7" s="56" t="str">
        <x:f>'Resumo'!B16</x:f>
        <x:v>SIM</x:v>
      </x:c>
      <x:c r="C7" s="46" t="str">
        <x:v>SIM</x:v>
      </x:c>
      <x:c r="D7" s="46"/>
      <x:c r="E7" s="46"/>
      <x:c r="F7" s="46" t="str">
        <x:f>IF(B7=C7,"OK","FALHA")</x:f>
        <x:v>OK</x:v>
      </x:c>
      <x:c r="G7" s="46" t="str">
        <x:v>Valida estrutura, domínio, HTTPS, datas, IDs e URLs.</x:v>
      </x:c>
    </x:row>
    <x:row r="8">
      <x:c r="A8" s="46" t="str">
        <x:v>Fontes utilizadas registradas</x:v>
      </x:c>
      <x:c r="B8" s="56" t="n">
        <x:f>12</x:f>
        <x:v>12</x:v>
      </x:c>
      <x:c r="C8" s="46" t="n">
        <x:v>12</x:v>
      </x:c>
      <x:c r="D8" s="46"/>
      <x:c r="E8" s="46"/>
      <x:c r="F8" s="46" t="str">
        <x:f>IF(B8=C8,"OK","FALHA")</x:f>
        <x:v>OK</x:v>
      </x:c>
      <x:c r="G8" s="46" t="str">
        <x:v>Todas as fontes usadas pelos validadores devem estar registradas.</x:v>
      </x:c>
    </x:row>
    <x:row r="9">
      <x:c r="A9" s="46" t="str">
        <x:v>Revisão profissional concluída</x:v>
      </x:c>
      <x:c r="B9" s="56" t="n">
        <x:f>0</x:f>
        <x:v>0</x:v>
      </x:c>
      <x:c r="C9" s="46" t="n">
        <x:v>1</x:v>
      </x:c>
      <x:c r="D9" s="46"/>
      <x:c r="E9" s="46"/>
      <x:c r="F9" s="46" t="str">
        <x:f>IF(B9=C9,"OK","PENDENTE")</x:f>
        <x:v>PENDENTE</x:v>
      </x:c>
      <x:c r="G9" s="46" t="str">
        <x:v>Somente profissional habilitado pode concluir esta etapa.</x:v>
      </x:c>
    </x:row>
  </x:sheetData>
  <x:mergeCells>
    <x:mergeCell ref="A1:G2"/>
  </x:mergeCells>
  <x:conditionalFormatting sqref="F5:F9">
    <x:cfRule type="containsText" dxfId="4" priority="1" operator="containsText" text="OK"/>
    <x:cfRule type="containsText" dxfId="5" priority="2" operator="containsText" text="PENDENTE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26" t="str">
        <x:v>Como concluir a revisão tributária</x:v>
      </x:c>
      <x:c r="B1" s="26" t="str">
        <x:v>Como concluir a revisão tributária</x:v>
      </x:c>
      <x:c r="C1" s="26" t="str">
        <x:v>Como concluir a revisão tributária</x:v>
      </x:c>
      <x:c r="D1" s="26" t="str">
        <x:v>Como concluir a revisão tributária</x:v>
      </x:c>
      <x:c r="E1" s="26" t="str">
        <x:v>Como concluir a revisão tributária</x:v>
      </x:c>
      <x:c r="F1" s="26" t="str">
        <x:v>Como concluir a revisão tributária</x:v>
      </x:c>
      <x:c r="G1" s="26" t="str">
        <x:v>Como concluir a revisão tributária</x:v>
      </x:c>
      <x:c r="H1" s="26" t="str">
        <x:v>Como concluir a revisão tributária</x:v>
      </x:c>
    </x:row>
    <x:row r="2" ht="32" customHeight="1">
      <x:c r="A2" s="26" t="str">
        <x:v>Como concluir a revisão tributária</x:v>
      </x:c>
      <x:c r="B2" s="26" t="str">
        <x:v>Como concluir a revisão tributária</x:v>
      </x:c>
      <x:c r="C2" s="26" t="str">
        <x:v>Como concluir a revisão tributária</x:v>
      </x:c>
      <x:c r="D2" s="26" t="str">
        <x:v>Como concluir a revisão tributária</x:v>
      </x:c>
      <x:c r="E2" s="26" t="str">
        <x:v>Como concluir a revisão tributária</x:v>
      </x:c>
      <x:c r="F2" s="26" t="str">
        <x:v>Como concluir a revisão tributária</x:v>
      </x:c>
      <x:c r="G2" s="26" t="str">
        <x:v>Como concluir a revisão tributária</x:v>
      </x:c>
      <x:c r="H2" s="26" t="str">
        <x:v>Como concluir a revisão tributária</x:v>
      </x:c>
    </x:row>
    <x:row r="3">
      <x:c r="A3" s="28"/>
      <x:c r="B3" s="28"/>
      <x:c r="C3" s="28"/>
      <x:c r="D3" s="28"/>
      <x:c r="E3" s="28"/>
      <x:c r="F3" s="28"/>
      <x:c r="G3" s="28"/>
      <x:c r="H3" s="28"/>
    </x:row>
    <x:row r="4">
      <x:c r="A4" s="62" t="str">
        <x:v>Fluxo obrigatório</x:v>
      </x:c>
      <x:c r="B4" s="62" t="str">
        <x:v>Fluxo obrigatório</x:v>
      </x:c>
      <x:c r="C4" s="62" t="str">
        <x:v>Fluxo obrigatório</x:v>
      </x:c>
      <x:c r="D4" s="62" t="str">
        <x:v>Fluxo obrigatório</x:v>
      </x:c>
      <x:c r="E4" s="62" t="str">
        <x:v>Fluxo obrigatório</x:v>
      </x:c>
      <x:c r="F4" s="62" t="str">
        <x:v>Fluxo obrigatório</x:v>
      </x:c>
      <x:c r="G4" s="62" t="str">
        <x:v>Fluxo obrigatório</x:v>
      </x:c>
      <x:c r="H4" s="62" t="str">
        <x:v>Fluxo obrigatório</x:v>
      </x:c>
    </x:row>
    <x:row r="5">
      <x:c r="A5" s="63" t="str">
        <x:v>1. Execute validar_tudo e confirme DIVERGENTE = 0.</x:v>
      </x:c>
      <x:c r="B5" s="63"/>
      <x:c r="C5" s="63"/>
      <x:c r="D5" s="63"/>
      <x:c r="E5" s="63"/>
      <x:c r="F5" s="63"/>
      <x:c r="G5" s="63"/>
      <x:c r="H5" s="63"/>
    </x:row>
    <x:row r="6">
      <x:c r="A6" s="63" t="str">
        <x:v>2. Execute auditar_fontes e corrija qualquer problema estrutural.</x:v>
      </x:c>
      <x:c r="B6" s="63"/>
      <x:c r="C6" s="63"/>
      <x:c r="D6" s="63"/>
      <x:c r="E6" s="63"/>
      <x:c r="F6" s="63"/>
      <x:c r="G6" s="63"/>
      <x:c r="H6" s="63"/>
    </x:row>
    <x:row r="7">
      <x:c r="A7" s="63" t="str">
        <x:v>3. Filtre PENDENTE_EVIDENCIA e reúna o documento de cada operação.</x:v>
      </x:c>
      <x:c r="B7" s="63"/>
      <x:c r="C7" s="63"/>
      <x:c r="D7" s="63"/>
      <x:c r="E7" s="63"/>
      <x:c r="F7" s="63"/>
      <x:c r="G7" s="63"/>
      <x:c r="H7" s="63"/>
    </x:row>
    <x:row r="8">
      <x:c r="A8" s="63" t="str">
        <x:v>4. Anonimize os dados e execute reconciliar_documentos.</x:v>
      </x:c>
      <x:c r="B8" s="63"/>
      <x:c r="C8" s="63"/>
      <x:c r="D8" s="63"/>
      <x:c r="E8" s="63"/>
      <x:c r="F8" s="63"/>
      <x:c r="G8" s="63"/>
      <x:c r="H8" s="63"/>
    </x:row>
    <x:row r="9">
      <x:c r="A9" s="63" t="str">
        <x:v>5. Confirme vigência, classificação e fato gerador em fonte primária.</x:v>
      </x:c>
      <x:c r="B9" s="63"/>
      <x:c r="C9" s="63"/>
      <x:c r="D9" s="63"/>
      <x:c r="E9" s="63"/>
      <x:c r="F9" s="63"/>
      <x:c r="G9" s="63"/>
      <x:c r="H9" s="63"/>
    </x:row>
    <x:row r="10">
      <x:c r="A10" s="63" t="str">
        <x:v>6. Registre ressalvas e divergências; nunca transforme ausência em zero.</x:v>
      </x:c>
      <x:c r="B10" s="63"/>
      <x:c r="C10" s="63"/>
      <x:c r="D10" s="63"/>
      <x:c r="E10" s="63"/>
      <x:c r="F10" s="63"/>
      <x:c r="G10" s="63"/>
      <x:c r="H10" s="63"/>
    </x:row>
    <x:row r="11">
      <x:c r="A11" s="63" t="str">
        <x:v>7. Gere registrar_revisao com credencial e responsabilidade declaradas.</x:v>
      </x:c>
      <x:c r="B11" s="63"/>
      <x:c r="C11" s="63"/>
      <x:c r="D11" s="63"/>
      <x:c r="E11" s="63"/>
      <x:c r="F11" s="63"/>
      <x:c r="G11" s="63"/>
      <x:c r="H11" s="63"/>
    </x:row>
    <x:row r="12">
      <x:c r="A12" s="63" t="str">
        <x:v>8. Arquive evidências originais fora do Git e preserve o hash do relatório.</x:v>
      </x:c>
      <x:c r="B12" s="63"/>
      <x:c r="C12" s="63"/>
      <x:c r="D12" s="63"/>
      <x:c r="E12" s="63"/>
      <x:c r="F12" s="63"/>
      <x:c r="G12" s="63"/>
      <x:c r="H12" s="63"/>
    </x:row>
    <x:row r="13">
      <x:c r="A13" s="63" t="str">
        <x:v>9. Revalide quando legislação, produto ou data-base mudar.</x:v>
      </x:c>
      <x:c r="B13" s="63"/>
      <x:c r="C13" s="63"/>
      <x:c r="D13" s="63"/>
      <x:c r="E13" s="63"/>
      <x:c r="F13" s="63"/>
      <x:c r="G13" s="63"/>
      <x:c r="H13" s="63"/>
    </x:row>
    <x:row r="14">
      <x:c r="A14" s="63"/>
      <x:c r="B14" s="63"/>
      <x:c r="C14" s="63"/>
      <x:c r="D14" s="63"/>
      <x:c r="E14" s="63"/>
      <x:c r="F14" s="63"/>
      <x:c r="G14" s="63"/>
      <x:c r="H14" s="63"/>
    </x:row>
    <x:row r="15">
      <x:c r="A15" s="62" t="str">
        <x:v>Limite do artefato</x:v>
      </x:c>
      <x:c r="B15" s="62" t="str">
        <x:v>Limite do artefato</x:v>
      </x:c>
      <x:c r="C15" s="62" t="str">
        <x:v>Limite do artefato</x:v>
      </x:c>
      <x:c r="D15" s="62" t="str">
        <x:v>Limite do artefato</x:v>
      </x:c>
      <x:c r="E15" s="62" t="str">
        <x:v>Limite do artefato</x:v>
      </x:c>
      <x:c r="F15" s="62" t="str">
        <x:v>Limite do artefato</x:v>
      </x:c>
      <x:c r="G15" s="62" t="str">
        <x:v>Limite do artefato</x:v>
      </x:c>
      <x:c r="H15" s="62" t="str">
        <x:v>Limite do artefato</x:v>
      </x:c>
    </x:row>
    <x:row r="16">
      <x:c r="A16" s="63" t="str">
        <x:v>Esta planilha é evidência técnica de engenharia e auditoria.</x:v>
      </x:c>
      <x:c r="B16" s="63"/>
      <x:c r="C16" s="63"/>
      <x:c r="D16" s="63"/>
      <x:c r="E16" s="63"/>
      <x:c r="F16" s="63"/>
      <x:c r="G16" s="63"/>
      <x:c r="H16" s="63"/>
    </x:row>
    <x:row r="17">
      <x:c r="A17" s="63" t="str">
        <x:v>Ela não autentica identidade, registro profissional ou documentos.</x:v>
      </x:c>
      <x:c r="B17" s="63"/>
      <x:c r="C17" s="63"/>
      <x:c r="D17" s="63"/>
      <x:c r="E17" s="63"/>
      <x:c r="F17" s="63"/>
      <x:c r="G17" s="63"/>
      <x:c r="H17" s="63"/>
    </x:row>
    <x:row r="18">
      <x:c r="A18" s="63" t="str">
        <x:v>Ela não substitui apuração oficial, parecer jurídico ou contábil.</x:v>
      </x:c>
      <x:c r="B18" s="63"/>
      <x:c r="C18" s="63"/>
      <x:c r="D18" s="63"/>
      <x:c r="E18" s="63"/>
      <x:c r="F18" s="63"/>
      <x:c r="G18" s="63"/>
      <x:c r="H18" s="63"/>
    </x:row>
  </x:sheetData>
  <x:mergeCells>
    <x:mergeCell ref="A1:H2"/>
    <x:mergeCell ref="A4:H4"/>
    <x:mergeCell ref="A5:H5"/>
    <x:mergeCell ref="A6:H6"/>
    <x:mergeCell ref="A7:H7"/>
    <x:mergeCell ref="A8:H8"/>
    <x:mergeCell ref="A9:H9"/>
    <x:mergeCell ref="A10:H10"/>
    <x:mergeCell ref="A11:H11"/>
    <x:mergeCell ref="A12:H12"/>
    <x:mergeCell ref="A13:H13"/>
    <x:mergeCell ref="A15:H15"/>
    <x:mergeCell ref="A16:H16"/>
    <x:mergeCell ref="A17:H17"/>
    <x:mergeCell ref="A18:H18"/>
  </x:mergeCells>
  <x:pageMargins left="0.7" right="0.7" top="0.75" bottom="0.75" header="0.3" footer="0.3"/>
</x:worksheet>
</file>