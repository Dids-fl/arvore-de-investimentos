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cd8ee538504486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sumo" sheetId="1" r:id="Re3ffa1015d5f4492"/>
    <x:sheet xmlns:r="http://schemas.openxmlformats.org/officeDocument/2006/relationships" name="Casos" sheetId="2" r:id="R18ba91fc939e4e56"/>
    <x:sheet xmlns:r="http://schemas.openxmlformats.org/officeDocument/2006/relationships" name="Fontes" sheetId="3" r:id="Rc5ffde622d30491b"/>
    <x:sheet xmlns:r="http://schemas.openxmlformats.org/officeDocument/2006/relationships" name="Limitacoes" sheetId="4" r:id="R4faeb1e87cdb4bfc"/>
    <x:sheet xmlns:r="http://schemas.openxmlformats.org/officeDocument/2006/relationships" name="Instrucoes" sheetId="5" r:id="Rd4055632ed3045f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"/>
    <x:numFmt numFmtId="201" formatCode="R$ #,##0.00"/>
    <x:numFmt numFmtId="202" formatCode="0.0000%"/>
    <x:numFmt numFmtId="203" formatCode="yyyy-mm-dd"/>
  </x:numFmts>
  <x:fonts count="8">
    <x:font>
      <x:sz val="11"/>
      <x:name val="Carlito"/>
    </x:font>
    <x:font>
      <x:b/>
      <x:sz val="20"/>
      <x:color rgb="FFFFFFFF"/>
      <x:name val="Carlito"/>
    </x:font>
    <x:font>
      <x:i/>
      <x:sz val="10"/>
      <x:color rgb="FF595959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b/>
      <x:sz val="9"/>
      <x:color rgb="FFFFFFFF"/>
      <x:name val="Carlito"/>
    </x:font>
    <x:font>
      <x:sz val="11"/>
      <x:color rgb="FF0563C1"/>
      <x:name val="Carlito"/>
    </x:font>
    <x:font>
      <x:b/>
      <x:sz val="11"/>
      <x:color rgb="FF17365D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EAF3F8"/>
      </x:patternFill>
    </x:fill>
    <x:fill>
      <x:patternFill patternType="solid">
        <x:fgColor rgb="FFE2F0D9"/>
      </x:patternFill>
    </x:fill>
    <x:fill>
      <x:patternFill patternType="solid">
        <x:fgColor rgb="FFE7E6E6"/>
      </x:patternFill>
    </x:fill>
    <x:fill>
      <x:patternFill patternType="solid">
        <x:fgColor rgb="FFDDEBF7"/>
      </x:patternFill>
    </x:fill>
  </x:fills>
  <x:borders count="2">
    <x:border/>
    <x:border>
      <x:left style="thin">
        <x:color rgb="FFB4C6E7"/>
      </x:left>
      <x:right style="thin">
        <x:color rgb="FFB4C6E7"/>
      </x:right>
      <x:top style="thin">
        <x:color rgb="FFB4C6E7"/>
      </x:top>
      <x:bottom style="thin">
        <x:color rgb="FFB4C6E7"/>
      </x:bottom>
    </x:border>
  </x:borders>
  <x:cellStyleXfs count="1">
    <x:xf numFmtId="0" fontId="0" fillId="0" borderId="0"/>
  </x:cellStyleXfs>
  <x:cellXfs count="5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0" fillId="0" borderId="1" xfId="0" applyNumberFormat="1" applyFont="1" applyFill="1" applyBorder="1"/>
    <x:xf numFmtId="0" fontId="0" fillId="3" borderId="1" xfId="0" applyNumberFormat="1" applyFont="1" applyFill="1" applyBorder="1"/>
    <x:xf numFmtId="0" fontId="3" fillId="3" borderId="1" xfId="0" applyNumberFormat="1" applyFont="1" applyFill="1" applyBorder="1"/>
    <x:xf numFmtId="0" fontId="4" fillId="0" borderId="1" xfId="0" applyNumberFormat="1" applyFont="1" applyFill="1" applyBorder="1"/>
    <x:xf numFmtId="200" fontId="0" fillId="0" borderId="1" xfId="0" applyNumberFormat="1" applyFont="1" applyFill="1" applyBorder="1"/>
    <x:xf numFmtId="200" fontId="0" fillId="0" borderId="0" xfId="0" applyNumberFormat="1" applyFont="1" applyFill="1" applyBorder="1"/>
    <x:xf numFmtId="200" fontId="3" fillId="3" borderId="1" xfId="0" applyNumberFormat="1" applyFont="1" applyFill="1" applyBorder="1"/>
    <x:xf numFmtId="200" fontId="0" fillId="4" borderId="1" xfId="0" applyNumberFormat="1" applyFont="1" applyFill="1" applyBorder="1"/>
    <x:xf numFmtId="0" fontId="2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</x:xf>
    <x:xf numFmtId="0" fontId="3" fillId="3" borderId="1" xfId="0" applyNumberFormat="1" applyFont="1" applyFill="1" applyBorder="1" applyAlignment="1">
      <x:alignment vertical="center"/>
    </x:xf>
    <x:xf numFmtId="0" fontId="4" fillId="0" borderId="1" xfId="0" applyNumberFormat="1" applyFont="1" applyFill="1" applyBorder="1" applyAlignment="1">
      <x:alignment vertical="center"/>
    </x:xf>
    <x:xf numFmtId="200" fontId="0" fillId="0" borderId="1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 applyAlignment="1">
      <x:alignment vertical="center"/>
    </x:xf>
    <x:xf numFmtId="200" fontId="3" fillId="3" borderId="1" xfId="0" applyNumberFormat="1" applyFont="1" applyFill="1" applyBorder="1" applyAlignment="1">
      <x:alignment vertical="center"/>
    </x:xf>
    <x:xf numFmtId="200" fontId="0" fillId="4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3" fillId="3" borderId="1" xfId="0" applyNumberFormat="1" applyFont="1" applyFill="1" applyBorder="1" applyAlignment="1">
      <x:alignment vertical="center" wrapText="1"/>
    </x:xf>
    <x:xf numFmtId="0" fontId="4" fillId="0" borderId="1" xfId="0" applyNumberFormat="1" applyFont="1" applyFill="1" applyBorder="1" applyAlignment="1">
      <x:alignment vertical="center" wrapText="1"/>
    </x:xf>
    <x:xf numFmtId="200" fontId="0" fillId="0" borderId="1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 wrapText="1"/>
    </x:xf>
    <x:xf numFmtId="200" fontId="3" fillId="3" borderId="1" xfId="0" applyNumberFormat="1" applyFont="1" applyFill="1" applyBorder="1" applyAlignment="1">
      <x:alignment vertical="center" wrapText="1"/>
    </x:xf>
    <x:xf numFmtId="200" fontId="0" fillId="4" borderId="1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/>
    </x:xf>
    <x:xf numFmtId="0" fontId="5" fillId="2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 applyAlignment="1">
      <x:alignment vertical="top" wrapText="1"/>
    </x:xf>
    <x:xf numFmtId="202" fontId="0" fillId="0" borderId="0" xfId="0" applyNumberFormat="1" applyFont="1" applyFill="1" applyBorder="1" applyAlignment="1">
      <x:alignment vertical="top" wrapText="1"/>
    </x:xf>
    <x:xf numFmtId="203" fontId="0" fillId="0" borderId="0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 applyAlignment="1">
      <x:alignment vertical="top" wrapText="1"/>
    </x:xf>
    <x:xf numFmtId="203" fontId="0" fillId="4" borderId="0" xfId="0" applyNumberFormat="1" applyFont="1" applyFill="1" applyBorder="1" applyAlignment="1">
      <x:alignment vertical="top" wrapText="1"/>
    </x:xf>
    <x:xf numFmtId="0" fontId="6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 applyAlignment="1">
      <x:alignment vertical="top" wrapText="1"/>
    </x:xf>
    <x:xf numFmtId="0" fontId="4" fillId="5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 applyAlignment="1">
      <x:alignment vertical="top" wrapText="1"/>
    </x:xf>
    <x:xf numFmtId="0" fontId="4" fillId="6" borderId="0" xfId="0" applyNumberFormat="1" applyFont="1" applyFill="1" applyBorder="1" applyAlignment="1">
      <x:alignment vertical="top" wrapText="1"/>
    </x:xf>
    <x:xf numFmtId="0" fontId="4" fillId="4" borderId="0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 applyAlignment="1">
      <x:alignment vertical="top" wrapText="1"/>
    </x:xf>
    <x:xf numFmtId="0" fontId="4" fillId="7" borderId="0" xfId="0" applyNumberFormat="1" applyFont="1" applyFill="1" applyBorder="1" applyAlignment="1">
      <x:alignment vertical="top" wrapText="1"/>
    </x:xf>
    <x:xf numFmtId="203" fontId="0" fillId="0" borderId="0" xfId="0" applyNumberFormat="1" applyFont="1" applyFill="1" applyBorder="1"/>
    <x:xf numFmtId="0" fontId="6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 applyAlignment="1">
      <x:alignment wrapText="1"/>
    </x:xf>
    <x:xf numFmtId="203" fontId="0" fillId="0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7" fillId="8" borderId="0" xfId="0" applyNumberFormat="1" applyFont="1" applyFill="1" applyBorder="1"/>
    <x:xf numFmtId="0" fontId="7" fillId="8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f8fc299fda14e34" /><Relationship Type="http://schemas.openxmlformats.org/officeDocument/2006/relationships/theme" Target="/xl/theme/theme1.xml" Id="Rdb54c1e56af145a4" /><Relationship Type="http://schemas.openxmlformats.org/officeDocument/2006/relationships/sharedStrings" Target="/xl/sharedStrings.xml" Id="R53bc835d8def4201" /><Relationship Type="http://schemas.openxmlformats.org/officeDocument/2006/relationships/worksheet" Target="/xl/worksheets/sheet1.xml" Id="Re3ffa1015d5f4492" /><Relationship Type="http://schemas.openxmlformats.org/officeDocument/2006/relationships/worksheet" Target="/xl/worksheets/sheet2.xml" Id="R18ba91fc939e4e56" /><Relationship Type="http://schemas.openxmlformats.org/officeDocument/2006/relationships/worksheet" Target="/xl/worksheets/sheet3.xml" Id="Rc5ffde622d30491b" /><Relationship Type="http://schemas.openxmlformats.org/officeDocument/2006/relationships/worksheet" Target="/xl/worksheets/sheet4.xml" Id="R4faeb1e87cdb4bfc" /><Relationship Type="http://schemas.openxmlformats.org/officeDocument/2006/relationships/worksheet" Target="/xl/worksheets/sheet5.xml" Id="Rd4055632ed3045f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c815057b17f4ab3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Casos por status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Casos</c:v>
          </c:tx>
          <c:cat>
            <c:strRef>
              <c:f>'Resumo'!$A$6:$A$10</c:f>
              <c:strCache>
                <c:ptCount val="0"/>
              </c:strCache>
            </c:strRef>
          </c:cat>
          <c:val>
            <c:numRef>
              <c:f>'Resumo'!$B$6:$B$10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4</xdr:row>
      <xdr:rowOff>0</xdr:rowOff>
    </xdr:from>
    <xdr:to>
      <xdr:col>14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c815057b17f4ab3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sosValidacaoTributaria" displayName="CasosValidacaoTributaria" ref="A1:AH64" headerRowCount="1" totalsRowCount="0" totalsRowShown="0">
  <x:tableColumns count="34">
    <x:tableColumn id="1" name="ID do caso"/>
    <x:tableColumn id="2" name="Categoria"/>
    <x:tableColumn id="3" name="Natureza"/>
    <x:tableColumn id="4" name="Produto"/>
    <x:tableColumn id="5" name="Status independente"/>
    <x:tableColumn id="6" name="Principal"/>
    <x:tableColumn id="7" name="Valor bruto"/>
    <x:tableColumn id="8" name="Ganho"/>
    <x:tableColumn id="9" name="Data aplicação"/>
    <x:tableColumn id="10" name="Data resgate"/>
    <x:tableColumn id="11" name="Prazo (dias)"/>
    <x:tableColumn id="12" name="Contexto / metadados"/>
    <x:tableColumn id="13" name="Imposto motor"/>
    <x:tableColumn id="14" name="Líquido motor"/>
    <x:tableColumn id="15" name="Alíquota motor"/>
    <x:tableColumn id="16" name="Precisão motor"/>
    <x:tableColumn id="17" name="Regra motor"/>
    <x:tableColumn id="18" name="Imposto independente"/>
    <x:tableColumn id="19" name="Líquido independente"/>
    <x:tableColumn id="20" name="Alíquota independente"/>
    <x:tableColumn id="21" name="Precisão independente"/>
    <x:tableColumn id="22" name="Regra independente"/>
    <x:tableColumn id="23" name="Dif. imposto"/>
    <x:tableColumn id="24" name="Dif. líquido"/>
    <x:tableColumn id="25" name="Dif. alíquota"/>
    <x:tableColumn id="26" name="Confere motor"/>
    <x:tableColumn id="27" name="Pendências"/>
    <x:tableColumn id="28" name="Fundamentos"/>
    <x:tableColumn id="29" name="Fonte IDs"/>
    <x:tableColumn id="30" name="URLs oficiais"/>
    <x:tableColumn id="31" name="Evidência automática"/>
    <x:tableColumn id="32" name="Revisor humano"/>
    <x:tableColumn id="33" name="Data da revisão"/>
    <x:tableColumn id="34" name="Observaçõ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FontesTributarias" displayName="FontesTributarias" ref="A4:F26" headerRowCount="1" totalsRowCount="0" totalsRowShown="0">
  <x:tableColumns count="6">
    <x:tableColumn id="1" name="Categoria"/>
    <x:tableColumn id="2" name="Fonte ID"/>
    <x:tableColumn id="3" name="URL"/>
    <x:tableColumn id="4" name="Acessado em"/>
    <x:tableColumn id="5" name="Uso"/>
    <x:tableColumn id="6" name="Status documental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LimitacoesTributarias" displayName="LimitacoesTributarias" ref="A4:F10" headerRowCount="1" totalsRowCount="0" totalsRowShown="0">
  <x:tableColumns count="6">
    <x:tableColumn id="1" name="Grupo"/>
    <x:tableColumn id="2" name="Limitação"/>
    <x:tableColumn id="3" name="Comportamento do motor"/>
    <x:tableColumn id="4" name="Risco evitado"/>
    <x:tableColumn id="5" name="Próxima evidência"/>
    <x:tableColumn id="6" name="Estado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481d8c0584b4ac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980fa27d33c447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33c0c14c1dcb4ff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c531ca525ac462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6" hidden="0" customWidth="1"/>
    <x:col min="3" max="3" width="3" hidden="0" customWidth="1"/>
    <x:col min="4" max="4" width="24" hidden="0" customWidth="1"/>
    <x:col min="5" max="5" width="12" hidden="0" customWidth="1"/>
  </x:cols>
  <x:sheetData>
    <x:row r="1" ht="32" customHeight="1">
      <x:c r="A1" s="22" t="str">
        <x:v>Validação Tributária Independente</x:v>
      </x:c>
      <x:c r="B1" s="22" t="str">
        <x:v>Validação Tributária Independente</x:v>
      </x:c>
      <x:c r="C1" s="22" t="str">
        <x:v>Validação Tributária Independente</x:v>
      </x:c>
      <x:c r="D1" s="22" t="str">
        <x:v>Validação Tributária Independente</x:v>
      </x:c>
      <x:c r="E1" s="22" t="str">
        <x:v>Validação Tributária Independente</x:v>
      </x:c>
      <x:c r="F1" s="22" t="str">
        <x:v>Validação Tributária Independente</x:v>
      </x:c>
      <x:c r="G1" s="22" t="str">
        <x:v>Validação Tributária Independente</x:v>
      </x:c>
      <x:c r="H1" s="22" t="str">
        <x:v>Validação Tributária Independente</x:v>
      </x:c>
      <x:c r="I1" s="22" t="str">
        <x:v>Validação Tributária Independente</x:v>
      </x:c>
      <x:c r="J1" s="22" t="str">
        <x:v>Validação Tributária Independente</x:v>
      </x:c>
      <x:c r="K1" s="22" t="str">
        <x:v>Validação Tributária Independente</x:v>
      </x:c>
      <x:c r="L1" s="22" t="str">
        <x:v>Validação Tributária Independente</x:v>
      </x:c>
      <x:c r="M1" s="22" t="str">
        <x:v>Validação Tributária Independente</x:v>
      </x:c>
      <x:c r="N1" s="22" t="str">
        <x:v>Validação Tributária Independente</x:v>
      </x:c>
    </x:row>
    <x:row r="2" ht="32" customHeight="1">
      <x:c r="A2" s="22" t="str">
        <x:v>Validação Tributária Independente</x:v>
      </x:c>
      <x:c r="B2" s="22" t="str">
        <x:v>Validação Tributária Independente</x:v>
      </x:c>
      <x:c r="C2" s="22" t="str">
        <x:v>Validação Tributária Independente</x:v>
      </x:c>
      <x:c r="D2" s="22" t="str">
        <x:v>Validação Tributária Independente</x:v>
      </x:c>
      <x:c r="E2" s="22" t="str">
        <x:v>Validação Tributária Independente</x:v>
      </x:c>
      <x:c r="F2" s="22" t="str">
        <x:v>Validação Tributária Independente</x:v>
      </x:c>
      <x:c r="G2" s="22" t="str">
        <x:v>Validação Tributária Independente</x:v>
      </x:c>
      <x:c r="H2" s="22" t="str">
        <x:v>Validação Tributária Independente</x:v>
      </x:c>
      <x:c r="I2" s="22" t="str">
        <x:v>Validação Tributária Independente</x:v>
      </x:c>
      <x:c r="J2" s="22" t="str">
        <x:v>Validação Tributária Independente</x:v>
      </x:c>
      <x:c r="K2" s="22" t="str">
        <x:v>Validação Tributária Independente</x:v>
      </x:c>
      <x:c r="L2" s="22" t="str">
        <x:v>Validação Tributária Independente</x:v>
      </x:c>
      <x:c r="M2" s="22" t="str">
        <x:v>Validação Tributária Independente</x:v>
      </x:c>
      <x:c r="N2" s="22" t="str">
        <x:v>Validação Tributária Independente</x:v>
      </x:c>
    </x:row>
    <x:row r="3" ht="15" hidden="0" customHeight="1">
      <x:c r="A3" s="23" t="str">
        <x:v>Data-base 2026-08-04 | 63 casos dourados | 55 casos nos cinco validadores deste lote</x:v>
      </x:c>
      <x:c r="B3" s="23" t="str">
        <x:v>Data-base 2026-08-04 | 63 casos dourados | 55 casos nos cinco validadores deste lote</x:v>
      </x:c>
      <x:c r="C3" s="23" t="str">
        <x:v>Data-base 2026-08-04 | 63 casos dourados | 55 casos nos cinco validadores deste lote</x:v>
      </x:c>
      <x:c r="D3" s="23" t="str">
        <x:v>Data-base 2026-08-04 | 63 casos dourados | 55 casos nos cinco validadores deste lote</x:v>
      </x:c>
      <x:c r="E3" s="23" t="str">
        <x:v>Data-base 2026-08-04 | 63 casos dourados | 55 casos nos cinco validadores deste lote</x:v>
      </x:c>
      <x:c r="F3" s="23" t="str">
        <x:v>Data-base 2026-08-04 | 63 casos dourados | 55 casos nos cinco validadores deste lote</x:v>
      </x:c>
      <x:c r="G3" s="23" t="str">
        <x:v>Data-base 2026-08-04 | 63 casos dourados | 55 casos nos cinco validadores deste lote</x:v>
      </x:c>
      <x:c r="H3" s="23" t="str">
        <x:v>Data-base 2026-08-04 | 63 casos dourados | 55 casos nos cinco validadores deste lote</x:v>
      </x:c>
      <x:c r="I3" s="23" t="str">
        <x:v>Data-base 2026-08-04 | 63 casos dourados | 55 casos nos cinco validadores deste lote</x:v>
      </x:c>
      <x:c r="J3" s="23" t="str">
        <x:v>Data-base 2026-08-04 | 63 casos dourados | 55 casos nos cinco validadores deste lote</x:v>
      </x:c>
      <x:c r="K3" s="23" t="str">
        <x:v>Data-base 2026-08-04 | 63 casos dourados | 55 casos nos cinco validadores deste lote</x:v>
      </x:c>
      <x:c r="L3" s="23" t="str">
        <x:v>Data-base 2026-08-04 | 63 casos dourados | 55 casos nos cinco validadores deste lote</x:v>
      </x:c>
      <x:c r="M3" s="23" t="str">
        <x:v>Data-base 2026-08-04 | 63 casos dourados | 55 casos nos cinco validadores deste lote</x:v>
      </x:c>
      <x:c r="N3" s="23" t="str">
        <x:v>Data-base 2026-08-04 | 63 casos dourados | 55 casos nos cinco validadores deste lote</x:v>
      </x:c>
    </x:row>
    <x:row r="4" ht="15" hidden="0" customHeight="1">
      <x:c r="A4" s="24"/>
      <x:c r="B4" s="24"/>
      <x:c r="C4" s="24"/>
      <x:c r="D4" s="24"/>
      <x:c r="E4" s="24"/>
      <x:c r="F4" s="24"/>
      <x:c r="G4" s="24"/>
      <x:c r="H4" s="24"/>
      <x:c r="I4" s="24"/>
      <x:c r="J4" s="24"/>
      <x:c r="K4" s="24"/>
      <x:c r="L4" s="24"/>
      <x:c r="M4" s="24"/>
      <x:c r="N4" s="24"/>
    </x:row>
    <x:row r="5" ht="15" hidden="0" customHeight="1">
      <x:c r="A5" s="25" t="str">
        <x:v>Status</x:v>
      </x:c>
      <x:c r="B5" s="25" t="str">
        <x:v>Casos</x:v>
      </x:c>
      <x:c r="C5" s="24"/>
      <x:c r="D5" s="25" t="str">
        <x:v>Categoria</x:v>
      </x:c>
      <x:c r="E5" s="25" t="str">
        <x:v>Casos</x:v>
      </x:c>
      <x:c r="F5" s="24"/>
      <x:c r="G5" s="24"/>
      <x:c r="H5" s="24"/>
      <x:c r="I5" s="24"/>
      <x:c r="J5" s="24"/>
      <x:c r="K5" s="24"/>
      <x:c r="L5" s="24"/>
      <x:c r="M5" s="24"/>
      <x:c r="N5" s="24"/>
    </x:row>
    <x:row r="6" ht="52.79999923706055" hidden="0" customHeight="1">
      <x:c r="A6" s="26" t="str">
        <x:v>VALIDADO_PRIMEIRA_CAMADA</x:v>
      </x:c>
      <x:c r="B6" s="27" t="n">
        <x:v>21</x:v>
      </x:c>
      <x:c r="C6" s="24"/>
      <x:c r="D6" s="26" t="str">
        <x:v>cripto</x:v>
      </x:c>
      <x:c r="E6" s="28" t="n">
        <x:f>COUNTIF('Casos'!$B$2:$B$64,D6)</x:f>
        <x:v>8</x:v>
      </x:c>
      <x:c r="F6" s="24"/>
      <x:c r="G6" s="24"/>
      <x:c r="H6" s="24"/>
      <x:c r="I6" s="24"/>
      <x:c r="J6" s="24"/>
      <x:c r="K6" s="24"/>
      <x:c r="L6" s="24"/>
      <x:c r="M6" s="24"/>
      <x:c r="N6" s="24"/>
    </x:row>
    <x:row r="7" ht="39.599998474121094" hidden="0" customHeight="1">
      <x:c r="A7" s="26" t="str">
        <x:v>PENDENTE_PREMISSA</x:v>
      </x:c>
      <x:c r="B7" s="27" t="n">
        <x:v>35</x:v>
      </x:c>
      <x:c r="C7" s="24"/>
      <x:c r="D7" s="26" t="str">
        <x:v>renda_fixa</x:v>
      </x:c>
      <x:c r="E7" s="28" t="n">
        <x:f>COUNTIF('Casos'!$B$2:$B$64,D7)</x:f>
        <x:v>13</x:v>
      </x:c>
      <x:c r="F7" s="24"/>
      <x:c r="G7" s="24"/>
      <x:c r="H7" s="24"/>
      <x:c r="I7" s="24"/>
      <x:c r="J7" s="24"/>
      <x:c r="K7" s="24"/>
      <x:c r="L7" s="24"/>
      <x:c r="M7" s="24"/>
      <x:c r="N7" s="24"/>
    </x:row>
    <x:row r="8" ht="26.399999618530273" hidden="0" customHeight="1">
      <x:c r="A8" s="26" t="str">
        <x:v>FORA_DO_ESCOPO</x:v>
      </x:c>
      <x:c r="B8" s="27" t="n">
        <x:v>3</x:v>
      </x:c>
      <x:c r="C8" s="24"/>
      <x:c r="D8" s="26" t="str">
        <x:v>fundos</x:v>
      </x:c>
      <x:c r="E8" s="28" t="n">
        <x:f>COUNTIF('Casos'!$B$2:$B$64,D8)</x:f>
        <x:v>12</x:v>
      </x:c>
      <x:c r="F8" s="24"/>
      <x:c r="G8" s="24"/>
      <x:c r="H8" s="24"/>
      <x:c r="I8" s="24"/>
      <x:c r="J8" s="24"/>
      <x:c r="K8" s="24"/>
      <x:c r="L8" s="24"/>
      <x:c r="M8" s="24"/>
      <x:c r="N8" s="24"/>
    </x:row>
    <x:row r="9" ht="26.399999618530273" hidden="0" customHeight="1">
      <x:c r="A9" s="26" t="str">
        <x:v>DIVERGENTE</x:v>
      </x:c>
      <x:c r="B9" s="27" t="n">
        <x:v>0</x:v>
      </x:c>
      <x:c r="C9" s="24"/>
      <x:c r="D9" s="26" t="str">
        <x:v>previdencia</x:v>
      </x:c>
      <x:c r="E9" s="28" t="n">
        <x:f>COUNTIF('Casos'!$B$2:$B$64,D9)</x:f>
        <x:v>11</x:v>
      </x:c>
      <x:c r="F9" s="24"/>
      <x:c r="G9" s="24"/>
      <x:c r="H9" s="24"/>
      <x:c r="I9" s="24"/>
      <x:c r="J9" s="24"/>
      <x:c r="K9" s="24"/>
      <x:c r="L9" s="24"/>
      <x:c r="M9" s="24"/>
      <x:c r="N9" s="24"/>
    </x:row>
    <x:row r="10" ht="39.599998474121094" hidden="0" customHeight="1">
      <x:c r="A10" s="26" t="str">
        <x:v>NÃO RECALCULADO</x:v>
      </x:c>
      <x:c r="B10" s="27" t="n">
        <x:v>4</x:v>
      </x:c>
      <x:c r="C10" s="24"/>
      <x:c r="D10" s="26" t="str">
        <x:v>renda_variavel</x:v>
      </x:c>
      <x:c r="E10" s="28" t="n">
        <x:f>COUNTIF('Casos'!$B$2:$B$64,D10)</x:f>
        <x:v>10</x:v>
      </x:c>
      <x:c r="F10" s="24"/>
      <x:c r="G10" s="24"/>
      <x:c r="H10" s="24"/>
      <x:c r="I10" s="24"/>
      <x:c r="J10" s="24"/>
      <x:c r="K10" s="24"/>
      <x:c r="L10" s="24"/>
      <x:c r="M10" s="24"/>
      <x:c r="N10" s="24"/>
    </x:row>
    <x:row r="11" ht="26.399999618530273" hidden="0" customHeight="1">
      <x:c r="A11" s="24"/>
      <x:c r="B11" s="29"/>
      <x:c r="C11" s="24"/>
      <x:c r="D11" s="26" t="str">
        <x:v>estruturados</x:v>
      </x:c>
      <x:c r="E11" s="28" t="n">
        <x:f>COUNTIF('Casos'!$B$2:$B$64,D11)</x:f>
        <x:v>9</x:v>
      </x:c>
      <x:c r="F11" s="24"/>
      <x:c r="G11" s="24"/>
      <x:c r="H11" s="24"/>
      <x:c r="I11" s="24"/>
      <x:c r="J11" s="24"/>
      <x:c r="K11" s="24"/>
      <x:c r="L11" s="24"/>
      <x:c r="M11" s="24"/>
      <x:c r="N11" s="24"/>
    </x:row>
    <x:row r="12" ht="15" hidden="0" customHeight="1">
      <x:c r="A12" s="24"/>
      <x:c r="B12" s="29"/>
      <x:c r="C12" s="24"/>
      <x:c r="D12" s="24"/>
      <x:c r="E12" s="24"/>
      <x:c r="F12" s="24"/>
      <x:c r="G12" s="24"/>
      <x:c r="H12" s="24"/>
      <x:c r="I12" s="24"/>
      <x:c r="J12" s="24"/>
      <x:c r="K12" s="24"/>
      <x:c r="L12" s="24"/>
      <x:c r="M12" s="24"/>
      <x:c r="N12" s="24"/>
    </x:row>
    <x:row r="13" ht="15" hidden="0" customHeight="1">
      <x:c r="A13" s="25" t="str">
        <x:v>Indicador</x:v>
      </x:c>
      <x:c r="B13" s="30" t="str">
        <x:v>Resultado</x:v>
      </x:c>
      <x:c r="C13" s="24"/>
      <x:c r="D13" s="24"/>
      <x:c r="E13" s="24"/>
      <x:c r="F13" s="24"/>
      <x:c r="G13" s="24"/>
      <x:c r="H13" s="24"/>
      <x:c r="I13" s="24"/>
      <x:c r="J13" s="24"/>
      <x:c r="K13" s="24"/>
      <x:c r="L13" s="24"/>
      <x:c r="M13" s="24"/>
      <x:c r="N13" s="24"/>
    </x:row>
    <x:row r="14" ht="26.399999618530273" hidden="0" customHeight="1">
      <x:c r="A14" s="26" t="str">
        <x:v>Casos totais</x:v>
      </x:c>
      <x:c r="B14" s="27" t="n">
        <x:f>COUNTA('Casos'!$A$2:$A$64)</x:f>
        <x:v>63</x:v>
      </x:c>
      <x:c r="C14" s="24"/>
      <x:c r="D14" s="24"/>
      <x:c r="E14" s="24"/>
      <x:c r="F14" s="24"/>
      <x:c r="G14" s="24"/>
      <x:c r="H14" s="24"/>
      <x:c r="I14" s="24"/>
      <x:c r="J14" s="24"/>
      <x:c r="K14" s="24"/>
      <x:c r="L14" s="24"/>
      <x:c r="M14" s="24"/>
      <x:c r="N14" s="24"/>
    </x:row>
    <x:row r="15" ht="39.599998474121094" hidden="0" customHeight="1">
      <x:c r="A15" s="26" t="str">
        <x:v>Casos dos cinco grupos</x:v>
      </x:c>
      <x:c r="B15" s="27" t="n">
        <x:f>B14-E6</x:f>
        <x:v>55</x:v>
      </x:c>
      <x:c r="C15" s="24"/>
      <x:c r="D15" s="24"/>
      <x:c r="E15" s="24"/>
      <x:c r="F15" s="24"/>
      <x:c r="G15" s="24"/>
      <x:c r="H15" s="24"/>
      <x:c r="I15" s="24"/>
      <x:c r="J15" s="24"/>
      <x:c r="K15" s="24"/>
      <x:c r="L15" s="24"/>
      <x:c r="M15" s="24"/>
      <x:c r="N15" s="24"/>
    </x:row>
    <x:row r="16" ht="52.79999923706055" hidden="0" customHeight="1">
      <x:c r="A16" s="26" t="str">
        <x:v>Comparações sem divergência</x:v>
      </x:c>
      <x:c r="B16" s="27" t="n">
        <x:f>COUNTIF('Casos'!$Z$2:$Z$64,"SIM")</x:f>
        <x:v>59</x:v>
      </x:c>
      <x:c r="C16" s="24"/>
      <x:c r="D16" s="24"/>
      <x:c r="E16" s="24"/>
      <x:c r="F16" s="24"/>
      <x:c r="G16" s="24"/>
      <x:c r="H16" s="24"/>
      <x:c r="I16" s="24"/>
      <x:c r="J16" s="24"/>
      <x:c r="K16" s="24"/>
      <x:c r="L16" s="24"/>
      <x:c r="M16" s="24"/>
      <x:c r="N16" s="24"/>
    </x:row>
    <x:row r="17" ht="26.399999618530273" hidden="0" customHeight="1">
      <x:c r="A17" s="26" t="str">
        <x:v>Status da validação</x:v>
      </x:c>
      <x:c r="B17" s="31" t="str">
        <x:f>IF(B9&gt;0,"DIVERGÊNCIA",IF(OR(B7&gt;0,B8&gt;0,B10&gt;0),"PARCIAL","CONCLUÍDA"))</x:f>
        <x:v>PARCIAL</x:v>
      </x:c>
      <x:c r="C17" s="24"/>
      <x:c r="D17" s="24"/>
      <x:c r="E17" s="24"/>
      <x:c r="F17" s="24"/>
      <x:c r="G17" s="24"/>
      <x:c r="H17" s="24"/>
      <x:c r="I17" s="24"/>
      <x:c r="J17" s="24"/>
      <x:c r="K17" s="24"/>
      <x:c r="L17" s="24"/>
      <x:c r="M17" s="24"/>
      <x:c r="N17" s="24"/>
    </x:row>
    <x:row r="18" ht="39.599998474121094" hidden="0" customHeight="1">
      <x:c r="A18" s="26" t="str">
        <x:v>Revisão humana integral</x:v>
      </x:c>
      <x:c r="B18" s="31" t="str">
        <x:v>PENDENTE</x:v>
      </x:c>
      <x:c r="C18" s="24"/>
      <x:c r="D18" s="24"/>
      <x:c r="E18" s="24"/>
      <x:c r="F18" s="24"/>
      <x:c r="G18" s="24"/>
      <x:c r="H18" s="24"/>
      <x:c r="I18" s="24"/>
      <x:c r="J18" s="24"/>
      <x:c r="K18" s="24"/>
      <x:c r="L18" s="24"/>
      <x:c r="M18" s="24"/>
      <x:c r="N18" s="24"/>
    </x:row>
  </x:sheetData>
  <x:mergeCells>
    <x:mergeCell ref="A1:N2"/>
    <x:mergeCell ref="A3:N3"/>
  </x:mergeCells>
  <x:pageMargins left="0.7" right="0.7" top="0.75" bottom="0.75" header="0.3" footer="0.3"/>
  <x:drawing xmlns:r="http://schemas.openxmlformats.org/officeDocument/2006/relationships" r:id="R6481d8c0584b4ac4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8" hidden="0" customWidth="1"/>
    <x:col min="3" max="3" width="28" hidden="0" customWidth="1"/>
    <x:col min="4" max="4" width="24" hidden="0" customWidth="1"/>
    <x:col min="5" max="5" width="27" hidden="0" customWidth="1"/>
    <x:col min="6" max="6" width="15" hidden="0" customWidth="1"/>
    <x:col min="7" max="7" width="15" hidden="0" customWidth="1"/>
    <x:col min="8" max="8" width="15" hidden="0" customWidth="1"/>
    <x:col min="9" max="9" width="13" hidden="0" customWidth="1"/>
    <x:col min="10" max="10" width="13" hidden="0" customWidth="1"/>
    <x:col min="11" max="11" width="12" hidden="0" customWidth="1"/>
    <x:col min="12" max="12" width="38" hidden="0" customWidth="1"/>
    <x:col min="13" max="13" width="16" hidden="0" customWidth="1"/>
    <x:col min="14" max="14" width="16" hidden="0" customWidth="1"/>
    <x:col min="15" max="15" width="15" hidden="0" customWidth="1"/>
    <x:col min="16" max="16" width="23" hidden="0" customWidth="1"/>
    <x:col min="17" max="17" width="36" hidden="0" customWidth="1"/>
    <x:col min="18" max="18" width="18" hidden="0" customWidth="1"/>
    <x:col min="19" max="19" width="18" hidden="0" customWidth="1"/>
    <x:col min="20" max="20" width="17" hidden="0" customWidth="1"/>
    <x:col min="21" max="21" width="23" hidden="0" customWidth="1"/>
    <x:col min="22" max="22" width="38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48" hidden="0" customWidth="1"/>
    <x:col min="28" max="28" width="48" hidden="0" customWidth="1"/>
    <x:col min="29" max="29" width="30" hidden="0" customWidth="1"/>
    <x:col min="30" max="30" width="60" hidden="0" customWidth="1"/>
    <x:col min="31" max="31" width="44" hidden="0" customWidth="1"/>
    <x:col min="32" max="32" width="24" hidden="0" customWidth="1"/>
    <x:col min="33" max="33" width="16" hidden="0" customWidth="1"/>
    <x:col min="34" max="34" width="48" hidden="0" customWidth="1"/>
  </x:cols>
  <x:sheetData>
    <x:row r="1" ht="15" hidden="0" customHeight="1">
      <x:c r="A1" s="35" t="str">
        <x:v>ID do caso</x:v>
      </x:c>
      <x:c r="B1" s="35" t="str">
        <x:v>Categoria</x:v>
      </x:c>
      <x:c r="C1" s="35" t="str">
        <x:v>Natureza</x:v>
      </x:c>
      <x:c r="D1" s="35" t="str">
        <x:v>Produto</x:v>
      </x:c>
      <x:c r="E1" s="35" t="str">
        <x:v>Status independente</x:v>
      </x:c>
      <x:c r="F1" s="35" t="str">
        <x:v>Principal</x:v>
      </x:c>
      <x:c r="G1" s="35" t="str">
        <x:v>Valor bruto</x:v>
      </x:c>
      <x:c r="H1" s="35" t="str">
        <x:v>Ganho</x:v>
      </x:c>
      <x:c r="I1" s="35" t="str">
        <x:v>Data aplicação</x:v>
      </x:c>
      <x:c r="J1" s="35" t="str">
        <x:v>Data resgate</x:v>
      </x:c>
      <x:c r="K1" s="35" t="str">
        <x:v>Prazo (dias)</x:v>
      </x:c>
      <x:c r="L1" s="35" t="str">
        <x:v>Contexto / metadados</x:v>
      </x:c>
      <x:c r="M1" s="35" t="str">
        <x:v>Imposto motor</x:v>
      </x:c>
      <x:c r="N1" s="35" t="str">
        <x:v>Líquido motor</x:v>
      </x:c>
      <x:c r="O1" s="35" t="str">
        <x:v>Alíquota motor</x:v>
      </x:c>
      <x:c r="P1" s="35" t="str">
        <x:v>Precisão motor</x:v>
      </x:c>
      <x:c r="Q1" s="35" t="str">
        <x:v>Regra motor</x:v>
      </x:c>
      <x:c r="R1" s="35" t="str">
        <x:v>Imposto independente</x:v>
      </x:c>
      <x:c r="S1" s="35" t="str">
        <x:v>Líquido independente</x:v>
      </x:c>
      <x:c r="T1" s="35" t="str">
        <x:v>Alíquota independente</x:v>
      </x:c>
      <x:c r="U1" s="35" t="str">
        <x:v>Precisão independente</x:v>
      </x:c>
      <x:c r="V1" s="35" t="str">
        <x:v>Regra independente</x:v>
      </x:c>
      <x:c r="W1" s="35" t="str">
        <x:v>Dif. imposto</x:v>
      </x:c>
      <x:c r="X1" s="35" t="str">
        <x:v>Dif. líquido</x:v>
      </x:c>
      <x:c r="Y1" s="35" t="str">
        <x:v>Dif. alíquota</x:v>
      </x:c>
      <x:c r="Z1" s="35" t="str">
        <x:v>Confere motor</x:v>
      </x:c>
      <x:c r="AA1" s="35" t="str">
        <x:v>Pendências</x:v>
      </x:c>
      <x:c r="AB1" s="35" t="str">
        <x:v>Fundamentos</x:v>
      </x:c>
      <x:c r="AC1" s="35" t="str">
        <x:v>Fonte IDs</x:v>
      </x:c>
      <x:c r="AD1" s="35" t="str">
        <x:v>URLs oficiais</x:v>
      </x:c>
      <x:c r="AE1" s="35" t="str">
        <x:v>Evidência automática</x:v>
      </x:c>
      <x:c r="AF1" s="35" t="str">
        <x:v>Revisor humano</x:v>
      </x:c>
      <x:c r="AG1" s="35" t="str">
        <x:v>Data da revisão</x:v>
      </x:c>
      <x:c r="AH1" s="35" t="str">
        <x:v>Observações</x:v>
      </x:c>
    </x:row>
    <x:row r="2" ht="26.399999618530273" hidden="0" customHeight="1">
      <x:c r="A2" s="36" t="str">
        <x:v>cripto_sem_jurisdicao</x:v>
      </x:c>
      <x:c r="B2" s="36" t="str">
        <x:v>cripto</x:v>
      </x:c>
      <x:c r="C2" s="36" t="str">
        <x:v>validacao_de_indeterminacao</x:v>
      </x:c>
      <x:c r="D2" s="36" t="str">
        <x:v>cripto</x:v>
      </x:c>
      <x:c r="E2" s="44" t="str">
        <x:v>NÃO RECALCULADO</x:v>
      </x:c>
      <x:c r="F2" s="37" t="n">
        <x:v>10000</x:v>
      </x:c>
      <x:c r="G2" s="37" t="n">
        <x:v>11000</x:v>
      </x:c>
      <x:c r="H2" s="37" t="n">
        <x:f>MAX(0,G2-F2)</x:f>
        <x:v>1000</x:v>
      </x:c>
      <x:c r="I2" s="39" t="n">
        <x:v>46023</x:v>
      </x:c>
      <x:c r="J2" s="39" t="n">
        <x:v>46204</x:v>
      </x:c>
      <x:c r="K2" s="36" t="n">
        <x:f>J2-I2</x:f>
        <x:v>181</x:v>
      </x:c>
      <x:c r="L2" s="36" t="str"/>
      <x:c r="M2" s="37"/>
      <x:c r="N2" s="37"/>
      <x:c r="O2" s="38"/>
      <x:c r="P2" s="36" t="str">
        <x:v>indeterminada</x:v>
      </x:c>
      <x:c r="Q2" s="36" t="str">
        <x:v>cripto_jurisdicao_indeterminada</x:v>
      </x:c>
      <x:c r="R2" s="37"/>
      <x:c r="S2" s="37"/>
      <x:c r="T2" s="38"/>
      <x:c r="U2" s="36"/>
      <x:c r="V2" s="36"/>
      <x:c r="W2" s="37" t="str">
        <x:f>IF(OR(E2="NÃO RECALCULADO",E2="FORA_DO_ESCOPO"),"",R2-M2)</x:f>
      </x:c>
      <x:c r="X2" s="37" t="str">
        <x:f>IF(OR(E2="NÃO RECALCULADO",E2="FORA_DO_ESCOPO"),"",S2-N2)</x:f>
      </x:c>
      <x:c r="Y2" s="38" t="str">
        <x:f>IF(OR(E2="NÃO RECALCULADO",E2="FORA_DO_ESCOPO"),"",T2-O2)</x:f>
      </x:c>
      <x:c r="Z2" s="36" t="str">
        <x:f>IF(E2="NÃO RECALCULADO","N/A",IF(E2="FORA_DO_ESCOPO",IF(AND(U2=P2,V2=Q2),"SIM","NÃO"),IF(AND(ABS(W2)&lt;=0.01,ABS(X2)&lt;=0.01,ABS(Y2)&lt;=0.000000001,U2=P2,V2=Q2),"SIM","NÃO")))</x:f>
        <x:v>N/A</x:v>
      </x:c>
      <x:c r="AA2" s="36" t="str">
        <x:v>Caso ainda não incluído no cálculo independente.</x:v>
      </x:c>
      <x:c r="AB2" s="36" t="str"/>
      <x:c r="AC2" s="36" t="str">
        <x:v>receita_criptoativos</x:v>
      </x:c>
      <x:c r="AD2" s="42" t="str">
        <x:v>https://www.gov.br/receitafederal/pt-br/assuntos/orientacao-tributaria/declaracoes-e-demonstrativos/criptoativos</x:v>
      </x:c>
      <x:c r="AE2" s="36" t="str">
        <x:v>validacao/tributacao/validar_cripto_independente.py</x:v>
      </x:c>
      <x:c r="AF2" s="40" t="str"/>
      <x:c r="AG2" s="41"/>
      <x:c r="AH2" s="40" t="str"/>
    </x:row>
    <x:row r="3" ht="52.79999923706055" hidden="0" customHeight="1">
      <x:c r="A3" s="36" t="str">
        <x:v>cripto_brasil_ganho_1000</x:v>
      </x:c>
      <x:c r="B3" s="36" t="str">
        <x:v>cripto</x:v>
      </x:c>
      <x:c r="C3" s="36" t="str">
        <x:v>regressao_implementacao_pendente_revisao</x:v>
      </x:c>
      <x:c r="D3" s="36" t="str">
        <x:v>cripto</x:v>
      </x:c>
      <x:c r="E3" s="44" t="str">
        <x:v>NÃO RECALCULADO</x:v>
      </x:c>
      <x:c r="F3" s="37" t="n">
        <x:v>10000</x:v>
      </x:c>
      <x:c r="G3" s="37" t="n">
        <x:v>11000</x:v>
      </x:c>
      <x:c r="H3" s="37" t="n">
        <x:f>MAX(0,G3-F3)</x:f>
        <x:v>1000</x:v>
      </x:c>
      <x:c r="I3" s="39" t="n">
        <x:v>46023</x:v>
      </x:c>
      <x:c r="J3" s="39" t="n">
        <x:v>46204</x:v>
      </x:c>
      <x:c r="K3" s="36" t="n">
        <x:f>J3-I3</x:f>
        <x:v>181</x:v>
      </x:c>
      <x:c r="L3" s="36" t="str">
        <x:v>{"metadados":{"jurisdicao_custodia":"brasil"}}</x:v>
      </x:c>
      <x:c r="M3" s="37" t="n">
        <x:v>150</x:v>
      </x:c>
      <x:c r="N3" s="37" t="n">
        <x:v>10850</x:v>
      </x:c>
      <x:c r="O3" s="38" t="n">
        <x:v>0.15</x:v>
      </x:c>
      <x:c r="P3" s="36" t="str">
        <x:v>estimada</x:v>
      </x:c>
      <x:c r="Q3" s="36" t="str">
        <x:v>cripto_ganho_capital_brasil_2026</x:v>
      </x:c>
      <x:c r="R3" s="37"/>
      <x:c r="S3" s="37"/>
      <x:c r="T3" s="38"/>
      <x:c r="U3" s="36"/>
      <x:c r="V3" s="36"/>
      <x:c r="W3" s="37" t="str">
        <x:f>IF(OR(E3="NÃO RECALCULADO",E3="FORA_DO_ESCOPO"),"",R3-M3)</x:f>
      </x:c>
      <x:c r="X3" s="37" t="str">
        <x:f>IF(OR(E3="NÃO RECALCULADO",E3="FORA_DO_ESCOPO"),"",S3-N3)</x:f>
      </x:c>
      <x:c r="Y3" s="38" t="str">
        <x:f>IF(OR(E3="NÃO RECALCULADO",E3="FORA_DO_ESCOPO"),"",T3-O3)</x:f>
      </x:c>
      <x:c r="Z3" s="36" t="str">
        <x:f>IF(E3="NÃO RECALCULADO","N/A",IF(E3="FORA_DO_ESCOPO",IF(AND(U3=P3,V3=Q3),"SIM","NÃO"),IF(AND(ABS(W3)&lt;=0.01,ABS(X3)&lt;=0.01,ABS(Y3)&lt;=0.000000001,U3=P3,V3=Q3),"SIM","NÃO")))</x:f>
        <x:v>N/A</x:v>
      </x:c>
      <x:c r="AA3" s="36" t="str">
        <x:v>Caso ainda não incluído no cálculo independente.</x:v>
      </x:c>
      <x:c r="AB3" s="36" t="str"/>
      <x:c r="AC3" s="36" t="str">
        <x:v>receita_ganho_capital; receita_criptoativos</x:v>
      </x:c>
      <x:c r="AD3" s="42" t="str">
        <x:v>https://www.gov.br/receitafederal/pt-br/assuntos/meu-imposto-de-renda/pagamento/ganhos-de-capital
https://www.gov.br/receitafederal/pt-br/assuntos/orientacao-tributaria/declaracoes-e-demonstrativos/criptoativos</x:v>
      </x:c>
      <x:c r="AE3" s="36" t="str">
        <x:v>validacao/tributacao/validar_cripto_independente.py</x:v>
      </x:c>
      <x:c r="AF3" s="40" t="str"/>
      <x:c r="AG3" s="41"/>
      <x:c r="AH3" s="40" t="str"/>
    </x:row>
    <x:row r="4" ht="52.79999923706055" hidden="0" customHeight="1">
      <x:c r="A4" s="36" t="str">
        <x:v>cripto_exterior_ganho_1000</x:v>
      </x:c>
      <x:c r="B4" s="36" t="str">
        <x:v>cripto</x:v>
      </x:c>
      <x:c r="C4" s="36" t="str">
        <x:v>conformidade_fonte_oficial_com_premissa_enquadramento</x:v>
      </x:c>
      <x:c r="D4" s="36" t="str">
        <x:v>cripto</x:v>
      </x:c>
      <x:c r="E4" s="46" t="str">
        <x:v>VALIDADO_PRIMEIRA_CAMADA</x:v>
      </x:c>
      <x:c r="F4" s="37" t="n">
        <x:v>10000</x:v>
      </x:c>
      <x:c r="G4" s="37" t="n">
        <x:v>11000</x:v>
      </x:c>
      <x:c r="H4" s="37" t="n">
        <x:f>MAX(0,G4-F4)</x:f>
        <x:v>1000</x:v>
      </x:c>
      <x:c r="I4" s="39" t="n">
        <x:v>46023</x:v>
      </x:c>
      <x:c r="J4" s="39" t="n">
        <x:v>46204</x:v>
      </x:c>
      <x:c r="K4" s="36" t="n">
        <x:f>J4-I4</x:f>
        <x:v>181</x:v>
      </x:c>
      <x:c r="L4" s="36" t="str">
        <x:v>{"metadados":{"jurisdicao_custodia":"exterior","enquadramento_aplicacao_financeira_exterior_confirmado":true}}</x:v>
      </x:c>
      <x:c r="M4" s="37" t="n">
        <x:v>150</x:v>
      </x:c>
      <x:c r="N4" s="37" t="n">
        <x:v>10850</x:v>
      </x:c>
      <x:c r="O4" s="38" t="n">
        <x:v>0.15</x:v>
      </x:c>
      <x:c r="P4" s="36" t="str">
        <x:v>estimada</x:v>
      </x:c>
      <x:c r="Q4" s="36" t="str">
        <x:v>cripto_aplicacao_financeira_exterior_2026</x:v>
      </x:c>
      <x:c r="R4" s="37" t="n">
        <x:v>150</x:v>
      </x:c>
      <x:c r="S4" s="37" t="n">
        <x:v>10850</x:v>
      </x:c>
      <x:c r="T4" s="38" t="n">
        <x:v>0.15</x:v>
      </x:c>
      <x:c r="U4" s="36" t="str">
        <x:v>estimada</x:v>
      </x:c>
      <x:c r="V4" s="36" t="str">
        <x:v>cripto_aplicacao_financeira_exterior_2026</x:v>
      </x:c>
      <x:c r="W4" s="37" t="n">
        <x:f>IF(OR(E4="NÃO RECALCULADO",E4="FORA_DO_ESCOPO"),"",R4-M4)</x:f>
        <x:v>0</x:v>
      </x:c>
      <x:c r="X4" s="37" t="n">
        <x:f>IF(OR(E4="NÃO RECALCULADO",E4="FORA_DO_ESCOPO"),"",S4-N4)</x:f>
        <x:v>0</x:v>
      </x:c>
      <x:c r="Y4" s="38" t="n">
        <x:f>IF(OR(E4="NÃO RECALCULADO",E4="FORA_DO_ESCOPO"),"",T4-O4)</x:f>
        <x:v>0</x:v>
      </x:c>
      <x:c r="Z4" s="36" t="str">
        <x:f>IF(E4="NÃO RECALCULADO","N/A",IF(E4="FORA_DO_ESCOPO",IF(AND(U4=P4,V4=Q4),"SIM","NÃO"),IF(AND(ABS(W4)&lt;=0.01,ABS(X4)&lt;=0.01,ABS(Y4)&lt;=0.000000001,U4=P4,V4=Q4),"SIM","NÃO")))</x:f>
        <x:v>SIM</x:v>
      </x:c>
      <x:c r="AA4" s="36" t="str"/>
      <x:c r="AB4" s="36" t="str">
        <x:v>Lei 14.754/2023, arts. 2º e 3º
IN RFB 2.180/2024, arts. 9º e 10
Manual MIR — Eventos do Patrimônio</x:v>
      </x:c>
      <x:c r="AC4" s="36" t="str">
        <x:v>lei_14754_2023; in_rfb_2180_2024; manual_mir_eventos_patrimonio</x:v>
      </x:c>
      <x:c r="AD4" s="42" t="str">
        <x:v>https://www.planalto.gov.br/ccivil_03/_ato2023-2026/2023/lei/l14754.htm
https://normas.receita.fazenda.gov.br/sijut2consulta/link.action?idAto=136603
https://www.gov.br/receitafederal/pt-br/assuntos/meu-imposto-de-renda/preenchimento/manual-mir/patrimonio/eventos-do-patrimonio</x:v>
      </x:c>
      <x:c r="AE4" s="36" t="str">
        <x:v>validacao/tributacao/validar_cripto_independente.py</x:v>
      </x:c>
      <x:c r="AF4" s="40" t="str"/>
      <x:c r="AG4" s="41"/>
      <x:c r="AH4" s="40" t="str">
        <x:v>O imposto de 15% é apurado no ajuste anual; o valor líquido aqui é uma projeção econômica, não retenção no resgate.
A localização no exterior não resolve sozinha o enquadramento material do ativo virtual.</x:v>
      </x:c>
    </x:row>
    <x:row r="5" ht="26.399999618530273" hidden="0" customHeight="1">
      <x:c r="A5" s="36" t="str">
        <x:v>cripto_isencao_confirmada_externamente</x:v>
      </x:c>
      <x:c r="B5" s="36" t="str">
        <x:v>cripto</x:v>
      </x:c>
      <x:c r="C5" s="36" t="str">
        <x:v>validacao_de_premissa_usuario</x:v>
      </x:c>
      <x:c r="D5" s="36" t="str">
        <x:v>cripto</x:v>
      </x:c>
      <x:c r="E5" s="44" t="str">
        <x:v>NÃO RECALCULADO</x:v>
      </x:c>
      <x:c r="F5" s="37" t="n">
        <x:v>10000</x:v>
      </x:c>
      <x:c r="G5" s="37" t="n">
        <x:v>11000</x:v>
      </x:c>
      <x:c r="H5" s="37" t="n">
        <x:f>MAX(0,G5-F5)</x:f>
        <x:v>1000</x:v>
      </x:c>
      <x:c r="I5" s="39" t="n">
        <x:v>46023</x:v>
      </x:c>
      <x:c r="J5" s="39" t="n">
        <x:v>46204</x:v>
      </x:c>
      <x:c r="K5" s="36" t="n">
        <x:f>J5-I5</x:f>
        <x:v>181</x:v>
      </x:c>
      <x:c r="L5" s="36" t="str">
        <x:v>{"metadados":{"jurisdicao_custodia":"brasil","isencao_confirmada":true}}</x:v>
      </x:c>
      <x:c r="M5" s="37" t="n">
        <x:v>0</x:v>
      </x:c>
      <x:c r="N5" s="37" t="n">
        <x:v>11000</x:v>
      </x:c>
      <x:c r="O5" s="38" t="n">
        <x:v>0</x:v>
      </x:c>
      <x:c r="P5" s="36" t="str">
        <x:v>estimada</x:v>
      </x:c>
      <x:c r="Q5" s="36" t="str">
        <x:v>cripto_isencao_informada_2026</x:v>
      </x:c>
      <x:c r="R5" s="37"/>
      <x:c r="S5" s="37"/>
      <x:c r="T5" s="38"/>
      <x:c r="U5" s="36"/>
      <x:c r="V5" s="36"/>
      <x:c r="W5" s="37" t="str">
        <x:f>IF(OR(E5="NÃO RECALCULADO",E5="FORA_DO_ESCOPO"),"",R5-M5)</x:f>
      </x:c>
      <x:c r="X5" s="37" t="str">
        <x:f>IF(OR(E5="NÃO RECALCULADO",E5="FORA_DO_ESCOPO"),"",S5-N5)</x:f>
      </x:c>
      <x:c r="Y5" s="38" t="str">
        <x:f>IF(OR(E5="NÃO RECALCULADO",E5="FORA_DO_ESCOPO"),"",T5-O5)</x:f>
      </x:c>
      <x:c r="Z5" s="36" t="str">
        <x:f>IF(E5="NÃO RECALCULADO","N/A",IF(E5="FORA_DO_ESCOPO",IF(AND(U5=P5,V5=Q5),"SIM","NÃO"),IF(AND(ABS(W5)&lt;=0.01,ABS(X5)&lt;=0.01,ABS(Y5)&lt;=0.000000001,U5=P5,V5=Q5),"SIM","NÃO")))</x:f>
        <x:v>N/A</x:v>
      </x:c>
      <x:c r="AA5" s="36" t="str">
        <x:v>Caso ainda não incluído no cálculo independente.</x:v>
      </x:c>
      <x:c r="AB5" s="36" t="str"/>
      <x:c r="AC5" s="36" t="str">
        <x:v>receita_criptoativos</x:v>
      </x:c>
      <x:c r="AD5" s="42" t="str">
        <x:v>https://www.gov.br/receitafederal/pt-br/assuntos/orientacao-tributaria/declaracoes-e-demonstrativos/criptoativos</x:v>
      </x:c>
      <x:c r="AE5" s="36" t="str">
        <x:v>validacao/tributacao/validar_cripto_independente.py</x:v>
      </x:c>
      <x:c r="AF5" s="40" t="str"/>
      <x:c r="AG5" s="41"/>
      <x:c r="AH5" s="40" t="str"/>
    </x:row>
    <x:row r="6" ht="26.399999618530273" hidden="0" customHeight="1">
      <x:c r="A6" s="36" t="str">
        <x:v>cripto_sem_ganho</x:v>
      </x:c>
      <x:c r="B6" s="36" t="str">
        <x:v>cripto</x:v>
      </x:c>
      <x:c r="C6" s="36" t="str">
        <x:v>regressao_implementacao_pendente_revisao</x:v>
      </x:c>
      <x:c r="D6" s="36" t="str">
        <x:v>cripto</x:v>
      </x:c>
      <x:c r="E6" s="44" t="str">
        <x:v>NÃO RECALCULADO</x:v>
      </x:c>
      <x:c r="F6" s="37" t="n">
        <x:v>10000</x:v>
      </x:c>
      <x:c r="G6" s="37" t="n">
        <x:v>10000</x:v>
      </x:c>
      <x:c r="H6" s="37" t="n">
        <x:f>MAX(0,G6-F6)</x:f>
        <x:v>0</x:v>
      </x:c>
      <x:c r="I6" s="39" t="n">
        <x:v>46023</x:v>
      </x:c>
      <x:c r="J6" s="39" t="n">
        <x:v>46204</x:v>
      </x:c>
      <x:c r="K6" s="36" t="n">
        <x:f>J6-I6</x:f>
        <x:v>181</x:v>
      </x:c>
      <x:c r="L6" s="36" t="str">
        <x:v>{"metadados":{"jurisdicao_custodia":"brasil"}}</x:v>
      </x:c>
      <x:c r="M6" s="37" t="n">
        <x:v>0</x:v>
      </x:c>
      <x:c r="N6" s="37" t="n">
        <x:v>10000</x:v>
      </x:c>
      <x:c r="O6" s="38" t="n">
        <x:v>0</x:v>
      </x:c>
      <x:c r="P6" s="36" t="str">
        <x:v>estimada</x:v>
      </x:c>
      <x:c r="Q6" s="36" t="str">
        <x:v>cripto_ganho_capital_brasil_2026</x:v>
      </x:c>
      <x:c r="R6" s="37"/>
      <x:c r="S6" s="37"/>
      <x:c r="T6" s="38"/>
      <x:c r="U6" s="36"/>
      <x:c r="V6" s="36"/>
      <x:c r="W6" s="37" t="str">
        <x:f>IF(OR(E6="NÃO RECALCULADO",E6="FORA_DO_ESCOPO"),"",R6-M6)</x:f>
      </x:c>
      <x:c r="X6" s="37" t="str">
        <x:f>IF(OR(E6="NÃO RECALCULADO",E6="FORA_DO_ESCOPO"),"",S6-N6)</x:f>
      </x:c>
      <x:c r="Y6" s="38" t="str">
        <x:f>IF(OR(E6="NÃO RECALCULADO",E6="FORA_DO_ESCOPO"),"",T6-O6)</x:f>
      </x:c>
      <x:c r="Z6" s="36" t="str">
        <x:f>IF(E6="NÃO RECALCULADO","N/A",IF(E6="FORA_DO_ESCOPO",IF(AND(U6=P6,V6=Q6),"SIM","NÃO"),IF(AND(ABS(W6)&lt;=0.01,ABS(X6)&lt;=0.01,ABS(Y6)&lt;=0.000000001,U6=P6,V6=Q6),"SIM","NÃO")))</x:f>
        <x:v>N/A</x:v>
      </x:c>
      <x:c r="AA6" s="36" t="str">
        <x:v>Caso ainda não incluído no cálculo independente.</x:v>
      </x:c>
      <x:c r="AB6" s="36" t="str"/>
      <x:c r="AC6" s="36" t="str">
        <x:v>receita_ganho_capital</x:v>
      </x:c>
      <x:c r="AD6" s="42" t="str">
        <x:v>https://www.gov.br/receitafederal/pt-br/assuntos/meu-imposto-de-renda/pagamento/ganhos-de-capital</x:v>
      </x:c>
      <x:c r="AE6" s="36" t="str">
        <x:v>validacao/tributacao/validar_cripto_independente.py</x:v>
      </x:c>
      <x:c r="AF6" s="40" t="str"/>
      <x:c r="AG6" s="41"/>
      <x:c r="AH6" s="40" t="str"/>
    </x:row>
    <x:row r="7" ht="39.599998474121094" hidden="0" customHeight="1">
      <x:c r="A7" s="36" t="str">
        <x:v>cripto_ganho_acumulado_cruza_5_milhoes</x:v>
      </x:c>
      <x:c r="B7" s="36" t="str">
        <x:v>cripto</x:v>
      </x:c>
      <x:c r="C7" s="36" t="str">
        <x:v>conformidade_fonte_oficial_com_premissa_alienacoes_parciais</x:v>
      </x:c>
      <x:c r="D7" s="36" t="str">
        <x:v>cripto</x:v>
      </x:c>
      <x:c r="E7" s="46" t="str">
        <x:v>VALIDADO_PRIMEIRA_CAMADA</x:v>
      </x:c>
      <x:c r="F7" s="37" t="n">
        <x:v>10000000</x:v>
      </x:c>
      <x:c r="G7" s="37" t="n">
        <x:v>12000000</x:v>
      </x:c>
      <x:c r="H7" s="37" t="n">
        <x:f>MAX(0,G7-F7)</x:f>
        <x:v>2000000</x:v>
      </x:c>
      <x:c r="I7" s="39" t="n">
        <x:v>46023</x:v>
      </x:c>
      <x:c r="J7" s="39" t="n">
        <x:v>46204</x:v>
      </x:c>
      <x:c r="K7" s="36" t="n">
        <x:f>J7-I7</x:f>
        <x:v>181</x:v>
      </x:c>
      <x:c r="L7" s="36" t="str">
        <x:v>{"metadados":{"jurisdicao_custodia":"brasil","ganho_acumulado_ano":6000000,"alienacoes_parciais_mesmo_bem_confirmadas":true}}</x:v>
      </x:c>
      <x:c r="M7" s="37" t="n">
        <x:v>325000</x:v>
      </x:c>
      <x:c r="N7" s="37" t="n">
        <x:v>11675000</x:v>
      </x:c>
      <x:c r="O7" s="38" t="n">
        <x:v>0.1625</x:v>
      </x:c>
      <x:c r="P7" s="36" t="str">
        <x:v>estimada</x:v>
      </x:c>
      <x:c r="Q7" s="36" t="str">
        <x:v>cripto_ganho_capital_brasil_2026</x:v>
      </x:c>
      <x:c r="R7" s="37" t="n">
        <x:v>325000</x:v>
      </x:c>
      <x:c r="S7" s="37" t="n">
        <x:v>11675000</x:v>
      </x:c>
      <x:c r="T7" s="38" t="n">
        <x:v>0.1625</x:v>
      </x:c>
      <x:c r="U7" s="36" t="str">
        <x:v>estimada</x:v>
      </x:c>
      <x:c r="V7" s="36" t="str">
        <x:v>cripto_ganho_capital_brasil_2026</x:v>
      </x:c>
      <x:c r="W7" s="37" t="n">
        <x:f>IF(OR(E7="NÃO RECALCULADO",E7="FORA_DO_ESCOPO"),"",R7-M7)</x:f>
        <x:v>0</x:v>
      </x:c>
      <x:c r="X7" s="37" t="n">
        <x:f>IF(OR(E7="NÃO RECALCULADO",E7="FORA_DO_ESCOPO"),"",S7-N7)</x:f>
        <x:v>0</x:v>
      </x:c>
      <x:c r="Y7" s="38" t="n">
        <x:f>IF(OR(E7="NÃO RECALCULADO",E7="FORA_DO_ESCOPO"),"",T7-O7)</x:f>
        <x:v>0</x:v>
      </x:c>
      <x:c r="Z7" s="36" t="str">
        <x:f>IF(E7="NÃO RECALCULADO","N/A",IF(E7="FORA_DO_ESCOPO",IF(AND(U7=P7,V7=Q7),"SIM","NÃO"),IF(AND(ABS(W7)&lt;=0.01,ABS(X7)&lt;=0.01,ABS(Y7)&lt;=0.000000001,U7=P7,V7=Q7),"SIM","NÃO")))</x:f>
        <x:v>SIM</x:v>
      </x:c>
      <x:c r="AA7" s="36" t="str"/>
      <x:c r="AB7" s="36" t="str">
        <x:v>Receita Federal — Alíquotas de ganhos de capital
Lei 13.259/2016, art. 1º</x:v>
      </x:c>
      <x:c r="AC7" s="36" t="str">
        <x:v>receita_ganho_capital; lei_13259_2016</x:v>
      </x:c>
      <x:c r="AD7" s="42" t="str">
        <x:v>https://www.gov.br/receitafederal/pt-br/assuntos/meu-imposto-de-renda/pagamento/ganhos-de-capital
https://www.planalto.gov.br/ccivil_03/_ato2015-2018/2016/lei/l13259.htm</x:v>
      </x:c>
      <x:c r="AE7" s="36" t="str">
        <x:v>validacao/tributacao/validar_cripto_independente.py</x:v>
      </x:c>
      <x:c r="AF7" s="40" t="str"/>
      <x:c r="AG7" s="41"/>
      <x:c r="AH7" s="40" t="str">
        <x:v>As faixas foram aplicadas progressivamente sobre o ganho, não sobre o valor bruto da alienação.</x:v>
      </x:c>
    </x:row>
    <x:row r="8" ht="39.599998474121094" hidden="0" customHeight="1">
      <x:c r="A8" s="36" t="str">
        <x:v>cripto_ganho_total_5_milhoes</x:v>
      </x:c>
      <x:c r="B8" s="36" t="str">
        <x:v>cripto</x:v>
      </x:c>
      <x:c r="C8" s="36" t="str">
        <x:v>conformidade_fonte_oficial</x:v>
      </x:c>
      <x:c r="D8" s="36" t="str">
        <x:v>cripto</x:v>
      </x:c>
      <x:c r="E8" s="46" t="str">
        <x:v>VALIDADO_PRIMEIRA_CAMADA</x:v>
      </x:c>
      <x:c r="F8" s="37" t="n">
        <x:v>1000000</x:v>
      </x:c>
      <x:c r="G8" s="37" t="n">
        <x:v>6000000</x:v>
      </x:c>
      <x:c r="H8" s="37" t="n">
        <x:f>MAX(0,G8-F8)</x:f>
        <x:v>5000000</x:v>
      </x:c>
      <x:c r="I8" s="39" t="n">
        <x:v>46023</x:v>
      </x:c>
      <x:c r="J8" s="39" t="n">
        <x:v>46204</x:v>
      </x:c>
      <x:c r="K8" s="36" t="n">
        <x:f>J8-I8</x:f>
        <x:v>181</x:v>
      </x:c>
      <x:c r="L8" s="36" t="str">
        <x:v>{"metadados":{"jurisdicao_custodia":"brasil"}}</x:v>
      </x:c>
      <x:c r="M8" s="37" t="n">
        <x:v>750000</x:v>
      </x:c>
      <x:c r="N8" s="37" t="n">
        <x:v>5250000</x:v>
      </x:c>
      <x:c r="O8" s="38" t="n">
        <x:v>0.15</x:v>
      </x:c>
      <x:c r="P8" s="36" t="str">
        <x:v>estimada</x:v>
      </x:c>
      <x:c r="Q8" s="36" t="str">
        <x:v>cripto_ganho_capital_brasil_2026</x:v>
      </x:c>
      <x:c r="R8" s="37" t="n">
        <x:v>750000</x:v>
      </x:c>
      <x:c r="S8" s="37" t="n">
        <x:v>5250000</x:v>
      </x:c>
      <x:c r="T8" s="38" t="n">
        <x:v>0.15</x:v>
      </x:c>
      <x:c r="U8" s="36" t="str">
        <x:v>estimada</x:v>
      </x:c>
      <x:c r="V8" s="36" t="str">
        <x:v>cripto_ganho_capital_brasil_2026</x:v>
      </x:c>
      <x:c r="W8" s="37" t="n">
        <x:f>IF(OR(E8="NÃO RECALCULADO",E8="FORA_DO_ESCOPO"),"",R8-M8)</x:f>
        <x:v>0</x:v>
      </x:c>
      <x:c r="X8" s="37" t="n">
        <x:f>IF(OR(E8="NÃO RECALCULADO",E8="FORA_DO_ESCOPO"),"",S8-N8)</x:f>
        <x:v>0</x:v>
      </x:c>
      <x:c r="Y8" s="38" t="n">
        <x:f>IF(OR(E8="NÃO RECALCULADO",E8="FORA_DO_ESCOPO"),"",T8-O8)</x:f>
        <x:v>0</x:v>
      </x:c>
      <x:c r="Z8" s="36" t="str">
        <x:f>IF(E8="NÃO RECALCULADO","N/A",IF(E8="FORA_DO_ESCOPO",IF(AND(U8=P8,V8=Q8),"SIM","NÃO"),IF(AND(ABS(W8)&lt;=0.01,ABS(X8)&lt;=0.01,ABS(Y8)&lt;=0.000000001,U8=P8,V8=Q8),"SIM","NÃO")))</x:f>
        <x:v>SIM</x:v>
      </x:c>
      <x:c r="AA8" s="36" t="str"/>
      <x:c r="AB8" s="36" t="str">
        <x:v>Receita Federal — Alíquotas de ganhos de capital
Lei 13.259/2016, art. 1º</x:v>
      </x:c>
      <x:c r="AC8" s="36" t="str">
        <x:v>receita_ganho_capital; lei_13259_2016</x:v>
      </x:c>
      <x:c r="AD8" s="42" t="str">
        <x:v>https://www.gov.br/receitafederal/pt-br/assuntos/meu-imposto-de-renda/pagamento/ganhos-de-capital
https://www.planalto.gov.br/ccivil_03/_ato2015-2018/2016/lei/l13259.htm</x:v>
      </x:c>
      <x:c r="AE8" s="36" t="str">
        <x:v>validacao/tributacao/validar_cripto_independente.py</x:v>
      </x:c>
      <x:c r="AF8" s="40" t="str"/>
      <x:c r="AG8" s="41"/>
      <x:c r="AH8" s="40" t="str">
        <x:v>As faixas foram aplicadas progressivamente sobre o ganho, não sobre o valor bruto da alienação.</x:v>
      </x:c>
    </x:row>
    <x:row r="9" ht="39.599998474121094" hidden="0" customHeight="1">
      <x:c r="A9" s="36" t="str">
        <x:v>cripto_ganho_total_12_milhoes</x:v>
      </x:c>
      <x:c r="B9" s="36" t="str">
        <x:v>cripto</x:v>
      </x:c>
      <x:c r="C9" s="36" t="str">
        <x:v>conformidade_fonte_oficial</x:v>
      </x:c>
      <x:c r="D9" s="36" t="str">
        <x:v>cripto</x:v>
      </x:c>
      <x:c r="E9" s="46" t="str">
        <x:v>VALIDADO_PRIMEIRA_CAMADA</x:v>
      </x:c>
      <x:c r="F9" s="37" t="n">
        <x:v>1000000</x:v>
      </x:c>
      <x:c r="G9" s="37" t="n">
        <x:v>13000000</x:v>
      </x:c>
      <x:c r="H9" s="37" t="n">
        <x:f>MAX(0,G9-F9)</x:f>
        <x:v>12000000</x:v>
      </x:c>
      <x:c r="I9" s="39" t="n">
        <x:v>46023</x:v>
      </x:c>
      <x:c r="J9" s="39" t="n">
        <x:v>46204</x:v>
      </x:c>
      <x:c r="K9" s="36" t="n">
        <x:f>J9-I9</x:f>
        <x:v>181</x:v>
      </x:c>
      <x:c r="L9" s="36" t="str">
        <x:v>{"metadados":{"jurisdicao_custodia":"brasil"}}</x:v>
      </x:c>
      <x:c r="M9" s="37" t="n">
        <x:v>2025000</x:v>
      </x:c>
      <x:c r="N9" s="37" t="n">
        <x:v>10975000</x:v>
      </x:c>
      <x:c r="O9" s="38" t="n">
        <x:v>0.16875</x:v>
      </x:c>
      <x:c r="P9" s="36" t="str">
        <x:v>estimada</x:v>
      </x:c>
      <x:c r="Q9" s="36" t="str">
        <x:v>cripto_ganho_capital_brasil_2026</x:v>
      </x:c>
      <x:c r="R9" s="37" t="n">
        <x:v>2025000</x:v>
      </x:c>
      <x:c r="S9" s="37" t="n">
        <x:v>10975000</x:v>
      </x:c>
      <x:c r="T9" s="38" t="n">
        <x:v>0.16875</x:v>
      </x:c>
      <x:c r="U9" s="36" t="str">
        <x:v>estimada</x:v>
      </x:c>
      <x:c r="V9" s="36" t="str">
        <x:v>cripto_ganho_capital_brasil_2026</x:v>
      </x:c>
      <x:c r="W9" s="37" t="n">
        <x:f>IF(OR(E9="NÃO RECALCULADO",E9="FORA_DO_ESCOPO"),"",R9-M9)</x:f>
        <x:v>0</x:v>
      </x:c>
      <x:c r="X9" s="37" t="n">
        <x:f>IF(OR(E9="NÃO RECALCULADO",E9="FORA_DO_ESCOPO"),"",S9-N9)</x:f>
        <x:v>0</x:v>
      </x:c>
      <x:c r="Y9" s="38" t="n">
        <x:f>IF(OR(E9="NÃO RECALCULADO",E9="FORA_DO_ESCOPO"),"",T9-O9)</x:f>
        <x:v>0</x:v>
      </x:c>
      <x:c r="Z9" s="36" t="str">
        <x:f>IF(E9="NÃO RECALCULADO","N/A",IF(E9="FORA_DO_ESCOPO",IF(AND(U9=P9,V9=Q9),"SIM","NÃO"),IF(AND(ABS(W9)&lt;=0.01,ABS(X9)&lt;=0.01,ABS(Y9)&lt;=0.000000001,U9=P9,V9=Q9),"SIM","NÃO")))</x:f>
        <x:v>SIM</x:v>
      </x:c>
      <x:c r="AA9" s="36" t="str"/>
      <x:c r="AB9" s="36" t="str">
        <x:v>Receita Federal — Alíquotas de ganhos de capital
Lei 13.259/2016, art. 1º</x:v>
      </x:c>
      <x:c r="AC9" s="36" t="str">
        <x:v>receita_ganho_capital; lei_13259_2016</x:v>
      </x:c>
      <x:c r="AD9" s="42" t="str">
        <x:v>https://www.gov.br/receitafederal/pt-br/assuntos/meu-imposto-de-renda/pagamento/ganhos-de-capital
https://www.planalto.gov.br/ccivil_03/_ato2015-2018/2016/lei/l13259.htm</x:v>
      </x:c>
      <x:c r="AE9" s="36" t="str">
        <x:v>validacao/tributacao/validar_cripto_independente.py</x:v>
      </x:c>
      <x:c r="AF9" s="40" t="str"/>
      <x:c r="AG9" s="41"/>
      <x:c r="AH9" s="40" t="str">
        <x:v>As faixas foram aplicadas progressivamente sobre o ganho, não sobre o valor bruto da alienação.</x:v>
      </x:c>
    </x:row>
    <x:row r="10" ht="39.599998474121094" hidden="0" customHeight="1">
      <x:c r="A10" s="36" t="str">
        <x:v>cdb_1_dia_com_iof</x:v>
      </x:c>
      <x:c r="B10" s="36" t="str">
        <x:v>renda_fixa</x:v>
      </x:c>
      <x:c r="C10" s="36" t="str">
        <x:v>conformidade_fonte_oficial</x:v>
      </x:c>
      <x:c r="D10" s="36" t="str">
        <x:v>cdb</x:v>
      </x:c>
      <x:c r="E10" s="46" t="str">
        <x:v>VALIDADO_PRIMEIRA_CAMADA</x:v>
      </x:c>
      <x:c r="F10" s="37" t="n">
        <x:v>10000</x:v>
      </x:c>
      <x:c r="G10" s="37" t="n">
        <x:v>11000</x:v>
      </x:c>
      <x:c r="H10" s="37" t="n">
        <x:f>MAX(0,G10-F10)</x:f>
        <x:v>1000</x:v>
      </x:c>
      <x:c r="I10" s="39" t="n">
        <x:v>46023</x:v>
      </x:c>
      <x:c r="J10" s="39" t="n">
        <x:v>46024</x:v>
      </x:c>
      <x:c r="K10" s="36" t="n">
        <x:f>J10-I10</x:f>
        <x:v>1</x:v>
      </x:c>
      <x:c r="L10" s="36" t="str"/>
      <x:c r="M10" s="37" t="n">
        <x:v>969</x:v>
      </x:c>
      <x:c r="N10" s="37" t="n">
        <x:v>10031</x:v>
      </x:c>
      <x:c r="O10" s="38" t="n">
        <x:v>0.969</x:v>
      </x:c>
      <x:c r="P10" s="36" t="str">
        <x:v>exata_para_premissas</x:v>
      </x:c>
      <x:c r="Q10" s="36" t="str">
        <x:v>rf_regressiva_2026</x:v>
      </x:c>
      <x:c r="R10" s="37" t="n">
        <x:v>969</x:v>
      </x:c>
      <x:c r="S10" s="37" t="n">
        <x:v>10031</x:v>
      </x:c>
      <x:c r="T10" s="38" t="n">
        <x:v>0.969</x:v>
      </x:c>
      <x:c r="U10" s="36" t="str">
        <x:v>exata_para_premissas</x:v>
      </x:c>
      <x:c r="V10" s="36" t="str">
        <x:v>rf_regressiva_2026</x:v>
      </x:c>
      <x:c r="W10" s="37" t="n">
        <x:f>IF(OR(E10="NÃO RECALCULADO",E10="FORA_DO_ESCOPO"),"",R10-M10)</x:f>
        <x:v>0</x:v>
      </x:c>
      <x:c r="X10" s="37" t="n">
        <x:f>IF(OR(E10="NÃO RECALCULADO",E10="FORA_DO_ESCOPO"),"",S10-N10)</x:f>
        <x:v>0</x:v>
      </x:c>
      <x:c r="Y10" s="38" t="n">
        <x:f>IF(OR(E10="NÃO RECALCULADO",E10="FORA_DO_ESCOPO"),"",T10-O10)</x:f>
        <x:v>0</x:v>
      </x:c>
      <x:c r="Z10" s="36" t="str">
        <x:f>IF(E10="NÃO RECALCULADO","N/A",IF(E10="FORA_DO_ESCOPO",IF(AND(U10=P10,V10=Q10),"SIM","NÃO"),IF(AND(ABS(W10)&lt;=0.01,ABS(X10)&lt;=0.01,ABS(Y10)&lt;=0.000000001,U10=P10,V10=Q10),"SIM","NÃO")))</x:f>
        <x:v>SIM</x:v>
      </x:c>
      <x:c r="AA10" s="36" t="str"/>
      <x:c r="AB10" s="36" t="str">
        <x:v>IOF calculado antes do IR para prazos inferiores a 30 dias.
IR regressivo por prazo sobre o rendimento líquido de IOF.</x:v>
      </x:c>
      <x:c r="AC10" s="36" t="str">
        <x:v>receita_tabelas_2026; decreto_iof_6306_2007</x:v>
      </x:c>
      <x:c r="AD10" s="42" t="str">
        <x:v>https://www.gov.br/receitafederal/pt-br/assuntos/meu-imposto-de-renda/tabelas/2026
https://www.planalto.gov.br/ccivil_03/_ato2007-2010/2007/decreto/d6306.htm</x:v>
      </x:c>
      <x:c r="AE10" s="36" t="str">
        <x:v>validacao/tributacao/validar_renda_fixa_independente.py</x:v>
      </x:c>
      <x:c r="AF10" s="40" t="str"/>
      <x:c r="AG10" s="41"/>
      <x:c r="AH10" s="40" t="str"/>
    </x:row>
    <x:row r="11" ht="39.599998474121094" hidden="0" customHeight="1">
      <x:c r="A11" s="36" t="str">
        <x:v>cdb_29_dias_com_iof</x:v>
      </x:c>
      <x:c r="B11" s="36" t="str">
        <x:v>renda_fixa</x:v>
      </x:c>
      <x:c r="C11" s="36" t="str">
        <x:v>conformidade_fonte_oficial</x:v>
      </x:c>
      <x:c r="D11" s="36" t="str">
        <x:v>cdb</x:v>
      </x:c>
      <x:c r="E11" s="46" t="str">
        <x:v>VALIDADO_PRIMEIRA_CAMADA</x:v>
      </x:c>
      <x:c r="F11" s="37" t="n">
        <x:v>10000</x:v>
      </x:c>
      <x:c r="G11" s="37" t="n">
        <x:v>11000</x:v>
      </x:c>
      <x:c r="H11" s="37" t="n">
        <x:f>MAX(0,G11-F11)</x:f>
        <x:v>1000</x:v>
      </x:c>
      <x:c r="I11" s="39" t="n">
        <x:v>46023</x:v>
      </x:c>
      <x:c r="J11" s="39" t="n">
        <x:v>46052</x:v>
      </x:c>
      <x:c r="K11" s="36" t="n">
        <x:f>J11-I11</x:f>
        <x:v>29</x:v>
      </x:c>
      <x:c r="L11" s="36" t="str"/>
      <x:c r="M11" s="37" t="n">
        <x:v>248.25</x:v>
      </x:c>
      <x:c r="N11" s="37" t="n">
        <x:v>10751.75</x:v>
      </x:c>
      <x:c r="O11" s="38" t="n">
        <x:v>0.24825</x:v>
      </x:c>
      <x:c r="P11" s="36" t="str">
        <x:v>exata_para_premissas</x:v>
      </x:c>
      <x:c r="Q11" s="36" t="str">
        <x:v>rf_regressiva_2026</x:v>
      </x:c>
      <x:c r="R11" s="37" t="n">
        <x:v>248.25</x:v>
      </x:c>
      <x:c r="S11" s="37" t="n">
        <x:v>10751.75</x:v>
      </x:c>
      <x:c r="T11" s="38" t="n">
        <x:v>0.24825</x:v>
      </x:c>
      <x:c r="U11" s="36" t="str">
        <x:v>exata_para_premissas</x:v>
      </x:c>
      <x:c r="V11" s="36" t="str">
        <x:v>rf_regressiva_2026</x:v>
      </x:c>
      <x:c r="W11" s="37" t="n">
        <x:f>IF(OR(E11="NÃO RECALCULADO",E11="FORA_DO_ESCOPO"),"",R11-M11)</x:f>
        <x:v>0</x:v>
      </x:c>
      <x:c r="X11" s="37" t="n">
        <x:f>IF(OR(E11="NÃO RECALCULADO",E11="FORA_DO_ESCOPO"),"",S11-N11)</x:f>
        <x:v>0</x:v>
      </x:c>
      <x:c r="Y11" s="38" t="n">
        <x:f>IF(OR(E11="NÃO RECALCULADO",E11="FORA_DO_ESCOPO"),"",T11-O11)</x:f>
        <x:v>0</x:v>
      </x:c>
      <x:c r="Z11" s="36" t="str">
        <x:f>IF(E11="NÃO RECALCULADO","N/A",IF(E11="FORA_DO_ESCOPO",IF(AND(U11=P11,V11=Q11),"SIM","NÃO"),IF(AND(ABS(W11)&lt;=0.01,ABS(X11)&lt;=0.01,ABS(Y11)&lt;=0.000000001,U11=P11,V11=Q11),"SIM","NÃO")))</x:f>
        <x:v>SIM</x:v>
      </x:c>
      <x:c r="AA11" s="36" t="str"/>
      <x:c r="AB11" s="36" t="str">
        <x:v>IOF calculado antes do IR para prazos inferiores a 30 dias.
IR regressivo por prazo sobre o rendimento líquido de IOF.</x:v>
      </x:c>
      <x:c r="AC11" s="36" t="str">
        <x:v>receita_tabelas_2026; decreto_iof_6306_2007</x:v>
      </x:c>
      <x:c r="AD11" s="42" t="str">
        <x:v>https://www.gov.br/receitafederal/pt-br/assuntos/meu-imposto-de-renda/tabelas/2026
https://www.planalto.gov.br/ccivil_03/_ato2007-2010/2007/decreto/d6306.htm</x:v>
      </x:c>
      <x:c r="AE11" s="36" t="str">
        <x:v>validacao/tributacao/validar_renda_fixa_independente.py</x:v>
      </x:c>
      <x:c r="AF11" s="40" t="str"/>
      <x:c r="AG11" s="41"/>
      <x:c r="AH11" s="40" t="str"/>
    </x:row>
    <x:row r="12" ht="26.399999618530273" hidden="0" customHeight="1">
      <x:c r="A12" s="36" t="str">
        <x:v>cdb_30_dias_sem_iof</x:v>
      </x:c>
      <x:c r="B12" s="36" t="str">
        <x:v>renda_fixa</x:v>
      </x:c>
      <x:c r="C12" s="36" t="str">
        <x:v>conformidade_fonte_oficial</x:v>
      </x:c>
      <x:c r="D12" s="36" t="str">
        <x:v>cdb</x:v>
      </x:c>
      <x:c r="E12" s="46" t="str">
        <x:v>VALIDADO_PRIMEIRA_CAMADA</x:v>
      </x:c>
      <x:c r="F12" s="37" t="n">
        <x:v>10000</x:v>
      </x:c>
      <x:c r="G12" s="37" t="n">
        <x:v>11000</x:v>
      </x:c>
      <x:c r="H12" s="37" t="n">
        <x:f>MAX(0,G12-F12)</x:f>
        <x:v>1000</x:v>
      </x:c>
      <x:c r="I12" s="39" t="n">
        <x:v>46023</x:v>
      </x:c>
      <x:c r="J12" s="39" t="n">
        <x:v>46053</x:v>
      </x:c>
      <x:c r="K12" s="36" t="n">
        <x:f>J12-I12</x:f>
        <x:v>30</x:v>
      </x:c>
      <x:c r="L12" s="36" t="str"/>
      <x:c r="M12" s="37" t="n">
        <x:v>225</x:v>
      </x:c>
      <x:c r="N12" s="37" t="n">
        <x:v>10775</x:v>
      </x:c>
      <x:c r="O12" s="38" t="n">
        <x:v>0.225</x:v>
      </x:c>
      <x:c r="P12" s="36" t="str">
        <x:v>exata_para_premissas</x:v>
      </x:c>
      <x:c r="Q12" s="36" t="str">
        <x:v>rf_regressiva_2026</x:v>
      </x:c>
      <x:c r="R12" s="37" t="n">
        <x:v>225</x:v>
      </x:c>
      <x:c r="S12" s="37" t="n">
        <x:v>10775</x:v>
      </x:c>
      <x:c r="T12" s="38" t="n">
        <x:v>0.225</x:v>
      </x:c>
      <x:c r="U12" s="36" t="str">
        <x:v>exata_para_premissas</x:v>
      </x:c>
      <x:c r="V12" s="36" t="str">
        <x:v>rf_regressiva_2026</x:v>
      </x:c>
      <x:c r="W12" s="37" t="n">
        <x:f>IF(OR(E12="NÃO RECALCULADO",E12="FORA_DO_ESCOPO"),"",R12-M12)</x:f>
        <x:v>0</x:v>
      </x:c>
      <x:c r="X12" s="37" t="n">
        <x:f>IF(OR(E12="NÃO RECALCULADO",E12="FORA_DO_ESCOPO"),"",S12-N12)</x:f>
        <x:v>0</x:v>
      </x:c>
      <x:c r="Y12" s="38" t="n">
        <x:f>IF(OR(E12="NÃO RECALCULADO",E12="FORA_DO_ESCOPO"),"",T12-O12)</x:f>
        <x:v>0</x:v>
      </x:c>
      <x:c r="Z12" s="36" t="str">
        <x:f>IF(E12="NÃO RECALCULADO","N/A",IF(E12="FORA_DO_ESCOPO",IF(AND(U12=P12,V12=Q12),"SIM","NÃO"),IF(AND(ABS(W12)&lt;=0.01,ABS(X12)&lt;=0.01,ABS(Y12)&lt;=0.000000001,U12=P12,V12=Q12),"SIM","NÃO")))</x:f>
        <x:v>SIM</x:v>
      </x:c>
      <x:c r="AA12" s="36" t="str"/>
      <x:c r="AB12" s="36" t="str">
        <x:v>IOF calculado antes do IR para prazos inferiores a 30 dias.
IR regressivo por prazo sobre o rendimento líquido de IOF.</x:v>
      </x:c>
      <x:c r="AC12" s="36" t="str">
        <x:v>receita_tabelas_2026</x:v>
      </x:c>
      <x:c r="AD12" s="42" t="str">
        <x:v>https://www.gov.br/receitafederal/pt-br/assuntos/meu-imposto-de-renda/tabelas/2026</x:v>
      </x:c>
      <x:c r="AE12" s="36" t="str">
        <x:v>validacao/tributacao/validar_renda_fixa_independente.py</x:v>
      </x:c>
      <x:c r="AF12" s="40" t="str"/>
      <x:c r="AG12" s="41"/>
      <x:c r="AH12" s="40" t="str"/>
    </x:row>
    <x:row r="13" ht="26.399999618530273" hidden="0" customHeight="1">
      <x:c r="A13" s="36" t="str">
        <x:v>cdb_180_dias</x:v>
      </x:c>
      <x:c r="B13" s="36" t="str">
        <x:v>renda_fixa</x:v>
      </x:c>
      <x:c r="C13" s="36" t="str">
        <x:v>conformidade_fonte_oficial</x:v>
      </x:c>
      <x:c r="D13" s="36" t="str">
        <x:v>cdb</x:v>
      </x:c>
      <x:c r="E13" s="46" t="str">
        <x:v>VALIDADO_PRIMEIRA_CAMADA</x:v>
      </x:c>
      <x:c r="F13" s="37" t="n">
        <x:v>10000</x:v>
      </x:c>
      <x:c r="G13" s="37" t="n">
        <x:v>11000</x:v>
      </x:c>
      <x:c r="H13" s="37" t="n">
        <x:f>MAX(0,G13-F13)</x:f>
        <x:v>1000</x:v>
      </x:c>
      <x:c r="I13" s="39" t="n">
        <x:v>46023</x:v>
      </x:c>
      <x:c r="J13" s="39" t="n">
        <x:v>46203</x:v>
      </x:c>
      <x:c r="K13" s="36" t="n">
        <x:f>J13-I13</x:f>
        <x:v>180</x:v>
      </x:c>
      <x:c r="L13" s="36" t="str"/>
      <x:c r="M13" s="37" t="n">
        <x:v>225</x:v>
      </x:c>
      <x:c r="N13" s="37" t="n">
        <x:v>10775</x:v>
      </x:c>
      <x:c r="O13" s="38" t="n">
        <x:v>0.225</x:v>
      </x:c>
      <x:c r="P13" s="36" t="str">
        <x:v>exata_para_premissas</x:v>
      </x:c>
      <x:c r="Q13" s="36" t="str">
        <x:v>rf_regressiva_2026</x:v>
      </x:c>
      <x:c r="R13" s="37" t="n">
        <x:v>225</x:v>
      </x:c>
      <x:c r="S13" s="37" t="n">
        <x:v>10775</x:v>
      </x:c>
      <x:c r="T13" s="38" t="n">
        <x:v>0.225</x:v>
      </x:c>
      <x:c r="U13" s="36" t="str">
        <x:v>exata_para_premissas</x:v>
      </x:c>
      <x:c r="V13" s="36" t="str">
        <x:v>rf_regressiva_2026</x:v>
      </x:c>
      <x:c r="W13" s="37" t="n">
        <x:f>IF(OR(E13="NÃO RECALCULADO",E13="FORA_DO_ESCOPO"),"",R13-M13)</x:f>
        <x:v>0</x:v>
      </x:c>
      <x:c r="X13" s="37" t="n">
        <x:f>IF(OR(E13="NÃO RECALCULADO",E13="FORA_DO_ESCOPO"),"",S13-N13)</x:f>
        <x:v>0</x:v>
      </x:c>
      <x:c r="Y13" s="38" t="n">
        <x:f>IF(OR(E13="NÃO RECALCULADO",E13="FORA_DO_ESCOPO"),"",T13-O13)</x:f>
        <x:v>0</x:v>
      </x:c>
      <x:c r="Z13" s="36" t="str">
        <x:f>IF(E13="NÃO RECALCULADO","N/A",IF(E13="FORA_DO_ESCOPO",IF(AND(U13=P13,V13=Q13),"SIM","NÃO"),IF(AND(ABS(W13)&lt;=0.01,ABS(X13)&lt;=0.01,ABS(Y13)&lt;=0.000000001,U13=P13,V13=Q13),"SIM","NÃO")))</x:f>
        <x:v>SIM</x:v>
      </x:c>
      <x:c r="AA13" s="36" t="str"/>
      <x:c r="AB13" s="36" t="str">
        <x:v>IOF calculado antes do IR para prazos inferiores a 30 dias.
IR regressivo por prazo sobre o rendimento líquido de IOF.</x:v>
      </x:c>
      <x:c r="AC13" s="36" t="str">
        <x:v>receita_tabelas_2026</x:v>
      </x:c>
      <x:c r="AD13" s="42" t="str">
        <x:v>https://www.gov.br/receitafederal/pt-br/assuntos/meu-imposto-de-renda/tabelas/2026</x:v>
      </x:c>
      <x:c r="AE13" s="36" t="str">
        <x:v>validacao/tributacao/validar_renda_fixa_independente.py</x:v>
      </x:c>
      <x:c r="AF13" s="40" t="str"/>
      <x:c r="AG13" s="41"/>
      <x:c r="AH13" s="40" t="str"/>
    </x:row>
    <x:row r="14" ht="26.399999618530273" hidden="0" customHeight="1">
      <x:c r="A14" s="36" t="str">
        <x:v>cdb_181_dias</x:v>
      </x:c>
      <x:c r="B14" s="36" t="str">
        <x:v>renda_fixa</x:v>
      </x:c>
      <x:c r="C14" s="36" t="str">
        <x:v>conformidade_fonte_oficial</x:v>
      </x:c>
      <x:c r="D14" s="36" t="str">
        <x:v>cdb</x:v>
      </x:c>
      <x:c r="E14" s="46" t="str">
        <x:v>VALIDADO_PRIMEIRA_CAMADA</x:v>
      </x:c>
      <x:c r="F14" s="37" t="n">
        <x:v>10000</x:v>
      </x:c>
      <x:c r="G14" s="37" t="n">
        <x:v>11000</x:v>
      </x:c>
      <x:c r="H14" s="37" t="n">
        <x:f>MAX(0,G14-F14)</x:f>
        <x:v>1000</x:v>
      </x:c>
      <x:c r="I14" s="39" t="n">
        <x:v>46023</x:v>
      </x:c>
      <x:c r="J14" s="39" t="n">
        <x:v>46204</x:v>
      </x:c>
      <x:c r="K14" s="36" t="n">
        <x:f>J14-I14</x:f>
        <x:v>181</x:v>
      </x:c>
      <x:c r="L14" s="36" t="str"/>
      <x:c r="M14" s="37" t="n">
        <x:v>200</x:v>
      </x:c>
      <x:c r="N14" s="37" t="n">
        <x:v>10800</x:v>
      </x:c>
      <x:c r="O14" s="38" t="n">
        <x:v>0.2</x:v>
      </x:c>
      <x:c r="P14" s="36" t="str">
        <x:v>exata_para_premissas</x:v>
      </x:c>
      <x:c r="Q14" s="36" t="str">
        <x:v>rf_regressiva_2026</x:v>
      </x:c>
      <x:c r="R14" s="37" t="n">
        <x:v>200</x:v>
      </x:c>
      <x:c r="S14" s="37" t="n">
        <x:v>10800</x:v>
      </x:c>
      <x:c r="T14" s="38" t="n">
        <x:v>0.2</x:v>
      </x:c>
      <x:c r="U14" s="36" t="str">
        <x:v>exata_para_premissas</x:v>
      </x:c>
      <x:c r="V14" s="36" t="str">
        <x:v>rf_regressiva_2026</x:v>
      </x:c>
      <x:c r="W14" s="37" t="n">
        <x:f>IF(OR(E14="NÃO RECALCULADO",E14="FORA_DO_ESCOPO"),"",R14-M14)</x:f>
        <x:v>0</x:v>
      </x:c>
      <x:c r="X14" s="37" t="n">
        <x:f>IF(OR(E14="NÃO RECALCULADO",E14="FORA_DO_ESCOPO"),"",S14-N14)</x:f>
        <x:v>0</x:v>
      </x:c>
      <x:c r="Y14" s="38" t="n">
        <x:f>IF(OR(E14="NÃO RECALCULADO",E14="FORA_DO_ESCOPO"),"",T14-O14)</x:f>
        <x:v>0</x:v>
      </x:c>
      <x:c r="Z14" s="36" t="str">
        <x:f>IF(E14="NÃO RECALCULADO","N/A",IF(E14="FORA_DO_ESCOPO",IF(AND(U14=P14,V14=Q14),"SIM","NÃO"),IF(AND(ABS(W14)&lt;=0.01,ABS(X14)&lt;=0.01,ABS(Y14)&lt;=0.000000001,U14=P14,V14=Q14),"SIM","NÃO")))</x:f>
        <x:v>SIM</x:v>
      </x:c>
      <x:c r="AA14" s="36" t="str"/>
      <x:c r="AB14" s="36" t="str">
        <x:v>IOF calculado antes do IR para prazos inferiores a 30 dias.
IR regressivo por prazo sobre o rendimento líquido de IOF.</x:v>
      </x:c>
      <x:c r="AC14" s="36" t="str">
        <x:v>receita_tabelas_2026</x:v>
      </x:c>
      <x:c r="AD14" s="42" t="str">
        <x:v>https://www.gov.br/receitafederal/pt-br/assuntos/meu-imposto-de-renda/tabelas/2026</x:v>
      </x:c>
      <x:c r="AE14" s="36" t="str">
        <x:v>validacao/tributacao/validar_renda_fixa_independente.py</x:v>
      </x:c>
      <x:c r="AF14" s="40" t="str"/>
      <x:c r="AG14" s="41"/>
      <x:c r="AH14" s="40" t="str"/>
    </x:row>
    <x:row r="15" ht="26.399999618530273" hidden="0" customHeight="1">
      <x:c r="A15" s="36" t="str">
        <x:v>cdb_360_dias</x:v>
      </x:c>
      <x:c r="B15" s="36" t="str">
        <x:v>renda_fixa</x:v>
      </x:c>
      <x:c r="C15" s="36" t="str">
        <x:v>conformidade_fonte_oficial</x:v>
      </x:c>
      <x:c r="D15" s="36" t="str">
        <x:v>cdb</x:v>
      </x:c>
      <x:c r="E15" s="46" t="str">
        <x:v>VALIDADO_PRIMEIRA_CAMADA</x:v>
      </x:c>
      <x:c r="F15" s="37" t="n">
        <x:v>10000</x:v>
      </x:c>
      <x:c r="G15" s="37" t="n">
        <x:v>11000</x:v>
      </x:c>
      <x:c r="H15" s="37" t="n">
        <x:f>MAX(0,G15-F15)</x:f>
        <x:v>1000</x:v>
      </x:c>
      <x:c r="I15" s="39" t="n">
        <x:v>46023</x:v>
      </x:c>
      <x:c r="J15" s="39" t="n">
        <x:v>46383</x:v>
      </x:c>
      <x:c r="K15" s="36" t="n">
        <x:f>J15-I15</x:f>
        <x:v>360</x:v>
      </x:c>
      <x:c r="L15" s="36" t="str"/>
      <x:c r="M15" s="37" t="n">
        <x:v>200</x:v>
      </x:c>
      <x:c r="N15" s="37" t="n">
        <x:v>10800</x:v>
      </x:c>
      <x:c r="O15" s="38" t="n">
        <x:v>0.2</x:v>
      </x:c>
      <x:c r="P15" s="36" t="str">
        <x:v>exata_para_premissas</x:v>
      </x:c>
      <x:c r="Q15" s="36" t="str">
        <x:v>rf_regressiva_2026</x:v>
      </x:c>
      <x:c r="R15" s="37" t="n">
        <x:v>200</x:v>
      </x:c>
      <x:c r="S15" s="37" t="n">
        <x:v>10800</x:v>
      </x:c>
      <x:c r="T15" s="38" t="n">
        <x:v>0.2</x:v>
      </x:c>
      <x:c r="U15" s="36" t="str">
        <x:v>exata_para_premissas</x:v>
      </x:c>
      <x:c r="V15" s="36" t="str">
        <x:v>rf_regressiva_2026</x:v>
      </x:c>
      <x:c r="W15" s="37" t="n">
        <x:f>IF(OR(E15="NÃO RECALCULADO",E15="FORA_DO_ESCOPO"),"",R15-M15)</x:f>
        <x:v>0</x:v>
      </x:c>
      <x:c r="X15" s="37" t="n">
        <x:f>IF(OR(E15="NÃO RECALCULADO",E15="FORA_DO_ESCOPO"),"",S15-N15)</x:f>
        <x:v>0</x:v>
      </x:c>
      <x:c r="Y15" s="38" t="n">
        <x:f>IF(OR(E15="NÃO RECALCULADO",E15="FORA_DO_ESCOPO"),"",T15-O15)</x:f>
        <x:v>0</x:v>
      </x:c>
      <x:c r="Z15" s="36" t="str">
        <x:f>IF(E15="NÃO RECALCULADO","N/A",IF(E15="FORA_DO_ESCOPO",IF(AND(U15=P15,V15=Q15),"SIM","NÃO"),IF(AND(ABS(W15)&lt;=0.01,ABS(X15)&lt;=0.01,ABS(Y15)&lt;=0.000000001,U15=P15,V15=Q15),"SIM","NÃO")))</x:f>
        <x:v>SIM</x:v>
      </x:c>
      <x:c r="AA15" s="36" t="str"/>
      <x:c r="AB15" s="36" t="str">
        <x:v>IOF calculado antes do IR para prazos inferiores a 30 dias.
IR regressivo por prazo sobre o rendimento líquido de IOF.</x:v>
      </x:c>
      <x:c r="AC15" s="36" t="str">
        <x:v>receita_tabelas_2026</x:v>
      </x:c>
      <x:c r="AD15" s="42" t="str">
        <x:v>https://www.gov.br/receitafederal/pt-br/assuntos/meu-imposto-de-renda/tabelas/2026</x:v>
      </x:c>
      <x:c r="AE15" s="36" t="str">
        <x:v>validacao/tributacao/validar_renda_fixa_independente.py</x:v>
      </x:c>
      <x:c r="AF15" s="40" t="str"/>
      <x:c r="AG15" s="41"/>
      <x:c r="AH15" s="40" t="str"/>
    </x:row>
    <x:row r="16" ht="26.399999618530273" hidden="0" customHeight="1">
      <x:c r="A16" s="36" t="str">
        <x:v>cdb_361_dias</x:v>
      </x:c>
      <x:c r="B16" s="36" t="str">
        <x:v>renda_fixa</x:v>
      </x:c>
      <x:c r="C16" s="36" t="str">
        <x:v>conformidade_fonte_oficial</x:v>
      </x:c>
      <x:c r="D16" s="36" t="str">
        <x:v>cdb</x:v>
      </x:c>
      <x:c r="E16" s="46" t="str">
        <x:v>VALIDADO_PRIMEIRA_CAMADA</x:v>
      </x:c>
      <x:c r="F16" s="37" t="n">
        <x:v>10000</x:v>
      </x:c>
      <x:c r="G16" s="37" t="n">
        <x:v>11000</x:v>
      </x:c>
      <x:c r="H16" s="37" t="n">
        <x:f>MAX(0,G16-F16)</x:f>
        <x:v>1000</x:v>
      </x:c>
      <x:c r="I16" s="39" t="n">
        <x:v>46023</x:v>
      </x:c>
      <x:c r="J16" s="39" t="n">
        <x:v>46384</x:v>
      </x:c>
      <x:c r="K16" s="36" t="n">
        <x:f>J16-I16</x:f>
        <x:v>361</x:v>
      </x:c>
      <x:c r="L16" s="36" t="str"/>
      <x:c r="M16" s="37" t="n">
        <x:v>175</x:v>
      </x:c>
      <x:c r="N16" s="37" t="n">
        <x:v>10825</x:v>
      </x:c>
      <x:c r="O16" s="38" t="n">
        <x:v>0.175</x:v>
      </x:c>
      <x:c r="P16" s="36" t="str">
        <x:v>exata_para_premissas</x:v>
      </x:c>
      <x:c r="Q16" s="36" t="str">
        <x:v>rf_regressiva_2026</x:v>
      </x:c>
      <x:c r="R16" s="37" t="n">
        <x:v>175</x:v>
      </x:c>
      <x:c r="S16" s="37" t="n">
        <x:v>10825</x:v>
      </x:c>
      <x:c r="T16" s="38" t="n">
        <x:v>0.175</x:v>
      </x:c>
      <x:c r="U16" s="36" t="str">
        <x:v>exata_para_premissas</x:v>
      </x:c>
      <x:c r="V16" s="36" t="str">
        <x:v>rf_regressiva_2026</x:v>
      </x:c>
      <x:c r="W16" s="37" t="n">
        <x:f>IF(OR(E16="NÃO RECALCULADO",E16="FORA_DO_ESCOPO"),"",R16-M16)</x:f>
        <x:v>0</x:v>
      </x:c>
      <x:c r="X16" s="37" t="n">
        <x:f>IF(OR(E16="NÃO RECALCULADO",E16="FORA_DO_ESCOPO"),"",S16-N16)</x:f>
        <x:v>0</x:v>
      </x:c>
      <x:c r="Y16" s="38" t="n">
        <x:f>IF(OR(E16="NÃO RECALCULADO",E16="FORA_DO_ESCOPO"),"",T16-O16)</x:f>
        <x:v>0</x:v>
      </x:c>
      <x:c r="Z16" s="36" t="str">
        <x:f>IF(E16="NÃO RECALCULADO","N/A",IF(E16="FORA_DO_ESCOPO",IF(AND(U16=P16,V16=Q16),"SIM","NÃO"),IF(AND(ABS(W16)&lt;=0.01,ABS(X16)&lt;=0.01,ABS(Y16)&lt;=0.000000001,U16=P16,V16=Q16),"SIM","NÃO")))</x:f>
        <x:v>SIM</x:v>
      </x:c>
      <x:c r="AA16" s="36" t="str"/>
      <x:c r="AB16" s="36" t="str">
        <x:v>IOF calculado antes do IR para prazos inferiores a 30 dias.
IR regressivo por prazo sobre o rendimento líquido de IOF.</x:v>
      </x:c>
      <x:c r="AC16" s="36" t="str">
        <x:v>receita_tabelas_2026</x:v>
      </x:c>
      <x:c r="AD16" s="42" t="str">
        <x:v>https://www.gov.br/receitafederal/pt-br/assuntos/meu-imposto-de-renda/tabelas/2026</x:v>
      </x:c>
      <x:c r="AE16" s="36" t="str">
        <x:v>validacao/tributacao/validar_renda_fixa_independente.py</x:v>
      </x:c>
      <x:c r="AF16" s="40" t="str"/>
      <x:c r="AG16" s="41"/>
      <x:c r="AH16" s="40" t="str"/>
    </x:row>
    <x:row r="17" ht="26.399999618530273" hidden="0" customHeight="1">
      <x:c r="A17" s="36" t="str">
        <x:v>cdb_720_dias</x:v>
      </x:c>
      <x:c r="B17" s="36" t="str">
        <x:v>renda_fixa</x:v>
      </x:c>
      <x:c r="C17" s="36" t="str">
        <x:v>conformidade_fonte_oficial</x:v>
      </x:c>
      <x:c r="D17" s="36" t="str">
        <x:v>cdb</x:v>
      </x:c>
      <x:c r="E17" s="47" t="str">
        <x:v>PENDENTE_PREMISSA</x:v>
      </x:c>
      <x:c r="F17" s="37" t="n">
        <x:v>10000</x:v>
      </x:c>
      <x:c r="G17" s="37" t="n">
        <x:v>11000</x:v>
      </x:c>
      <x:c r="H17" s="37" t="n">
        <x:f>MAX(0,G17-F17)</x:f>
        <x:v>1000</x:v>
      </x:c>
      <x:c r="I17" s="39" t="n">
        <x:v>46023</x:v>
      </x:c>
      <x:c r="J17" s="39" t="n">
        <x:v>46743</x:v>
      </x:c>
      <x:c r="K17" s="36" t="n">
        <x:f>J17-I17</x:f>
        <x:v>720</x:v>
      </x:c>
      <x:c r="L17" s="36" t="str"/>
      <x:c r="M17" s="37" t="n">
        <x:v>175</x:v>
      </x:c>
      <x:c r="N17" s="37" t="n">
        <x:v>10825</x:v>
      </x:c>
      <x:c r="O17" s="38" t="n">
        <x:v>0.175</x:v>
      </x:c>
      <x:c r="P17" s="36" t="str">
        <x:v>exata_para_premissas</x:v>
      </x:c>
      <x:c r="Q17" s="36" t="str">
        <x:v>rf_regressiva_2026</x:v>
      </x:c>
      <x:c r="R17" s="37" t="n">
        <x:v>175</x:v>
      </x:c>
      <x:c r="S17" s="37" t="n">
        <x:v>10825</x:v>
      </x:c>
      <x:c r="T17" s="38" t="n">
        <x:v>0.175</x:v>
      </x:c>
      <x:c r="U17" s="36" t="str">
        <x:v>exata_para_premissas</x:v>
      </x:c>
      <x:c r="V17" s="36" t="str">
        <x:v>rf_regressiva_2026</x:v>
      </x:c>
      <x:c r="W17" s="37" t="n">
        <x:f>IF(OR(E17="NÃO RECALCULADO",E17="FORA_DO_ESCOPO"),"",R17-M17)</x:f>
        <x:v>0</x:v>
      </x:c>
      <x:c r="X17" s="37" t="n">
        <x:f>IF(OR(E17="NÃO RECALCULADO",E17="FORA_DO_ESCOPO"),"",S17-N17)</x:f>
        <x:v>0</x:v>
      </x:c>
      <x:c r="Y17" s="38" t="n">
        <x:f>IF(OR(E17="NÃO RECALCULADO",E17="FORA_DO_ESCOPO"),"",T17-O17)</x:f>
        <x:v>0</x:v>
      </x:c>
      <x:c r="Z17" s="36" t="str">
        <x:f>IF(E17="NÃO RECALCULADO","N/A",IF(E17="FORA_DO_ESCOPO",IF(AND(U17=P17,V17=Q17),"SIM","NÃO"),IF(AND(ABS(W17)&lt;=0.01,ABS(X17)&lt;=0.01,ABS(Y17)&lt;=0.000000001,U17=P17,V17=Q17),"SIM","NÃO")))</x:f>
        <x:v>SIM</x:v>
      </x:c>
      <x:c r="AA17" s="36" t="str">
        <x:v>A legislação de 2026 foi mantida como hipótese até o resgate.</x:v>
      </x:c>
      <x:c r="AB17" s="36" t="str">
        <x:v>IOF calculado antes do IR para prazos inferiores a 30 dias.
IR regressivo por prazo sobre o rendimento líquido de IOF.</x:v>
      </x:c>
      <x:c r="AC17" s="36" t="str">
        <x:v>receita_tabelas_2026</x:v>
      </x:c>
      <x:c r="AD17" s="42" t="str">
        <x:v>https://www.gov.br/receitafederal/pt-br/assuntos/meu-imposto-de-renda/tabelas/2026</x:v>
      </x:c>
      <x:c r="AE17" s="36" t="str">
        <x:v>validacao/tributacao/validar_renda_fixa_independente.py</x:v>
      </x:c>
      <x:c r="AF17" s="40" t="str"/>
      <x:c r="AG17" s="41"/>
      <x:c r="AH17" s="40" t="str"/>
    </x:row>
    <x:row r="18" ht="26.399999618530273" hidden="0" customHeight="1">
      <x:c r="A18" s="36" t="str">
        <x:v>cdb_721_dias</x:v>
      </x:c>
      <x:c r="B18" s="36" t="str">
        <x:v>renda_fixa</x:v>
      </x:c>
      <x:c r="C18" s="36" t="str">
        <x:v>conformidade_fonte_oficial</x:v>
      </x:c>
      <x:c r="D18" s="36" t="str">
        <x:v>cdb</x:v>
      </x:c>
      <x:c r="E18" s="47" t="str">
        <x:v>PENDENTE_PREMISSA</x:v>
      </x:c>
      <x:c r="F18" s="37" t="n">
        <x:v>10000</x:v>
      </x:c>
      <x:c r="G18" s="37" t="n">
        <x:v>11000</x:v>
      </x:c>
      <x:c r="H18" s="37" t="n">
        <x:f>MAX(0,G18-F18)</x:f>
        <x:v>1000</x:v>
      </x:c>
      <x:c r="I18" s="39" t="n">
        <x:v>46023</x:v>
      </x:c>
      <x:c r="J18" s="39" t="n">
        <x:v>46744</x:v>
      </x:c>
      <x:c r="K18" s="36" t="n">
        <x:f>J18-I18</x:f>
        <x:v>721</x:v>
      </x:c>
      <x:c r="L18" s="36" t="str"/>
      <x:c r="M18" s="37" t="n">
        <x:v>150</x:v>
      </x:c>
      <x:c r="N18" s="37" t="n">
        <x:v>10850</x:v>
      </x:c>
      <x:c r="O18" s="38" t="n">
        <x:v>0.15</x:v>
      </x:c>
      <x:c r="P18" s="36" t="str">
        <x:v>exata_para_premissas</x:v>
      </x:c>
      <x:c r="Q18" s="36" t="str">
        <x:v>rf_regressiva_2026</x:v>
      </x:c>
      <x:c r="R18" s="37" t="n">
        <x:v>150</x:v>
      </x:c>
      <x:c r="S18" s="37" t="n">
        <x:v>10850</x:v>
      </x:c>
      <x:c r="T18" s="38" t="n">
        <x:v>0.15</x:v>
      </x:c>
      <x:c r="U18" s="36" t="str">
        <x:v>exata_para_premissas</x:v>
      </x:c>
      <x:c r="V18" s="36" t="str">
        <x:v>rf_regressiva_2026</x:v>
      </x:c>
      <x:c r="W18" s="37" t="n">
        <x:f>IF(OR(E18="NÃO RECALCULADO",E18="FORA_DO_ESCOPO"),"",R18-M18)</x:f>
        <x:v>0</x:v>
      </x:c>
      <x:c r="X18" s="37" t="n">
        <x:f>IF(OR(E18="NÃO RECALCULADO",E18="FORA_DO_ESCOPO"),"",S18-N18)</x:f>
        <x:v>0</x:v>
      </x:c>
      <x:c r="Y18" s="38" t="n">
        <x:f>IF(OR(E18="NÃO RECALCULADO",E18="FORA_DO_ESCOPO"),"",T18-O18)</x:f>
        <x:v>0</x:v>
      </x:c>
      <x:c r="Z18" s="36" t="str">
        <x:f>IF(E18="NÃO RECALCULADO","N/A",IF(E18="FORA_DO_ESCOPO",IF(AND(U18=P18,V18=Q18),"SIM","NÃO"),IF(AND(ABS(W18)&lt;=0.01,ABS(X18)&lt;=0.01,ABS(Y18)&lt;=0.000000001,U18=P18,V18=Q18),"SIM","NÃO")))</x:f>
        <x:v>SIM</x:v>
      </x:c>
      <x:c r="AA18" s="36" t="str">
        <x:v>A legislação de 2026 foi mantida como hipótese até o resgate.</x:v>
      </x:c>
      <x:c r="AB18" s="36" t="str">
        <x:v>IOF calculado antes do IR para prazos inferiores a 30 dias.
IR regressivo por prazo sobre o rendimento líquido de IOF.</x:v>
      </x:c>
      <x:c r="AC18" s="36" t="str">
        <x:v>receita_tabelas_2026</x:v>
      </x:c>
      <x:c r="AD18" s="42" t="str">
        <x:v>https://www.gov.br/receitafederal/pt-br/assuntos/meu-imposto-de-renda/tabelas/2026</x:v>
      </x:c>
      <x:c r="AE18" s="36" t="str">
        <x:v>validacao/tributacao/validar_renda_fixa_independente.py</x:v>
      </x:c>
      <x:c r="AF18" s="40" t="str"/>
      <x:c r="AG18" s="41"/>
      <x:c r="AH18" s="40" t="str"/>
    </x:row>
    <x:row r="19" ht="26.399999618530273" hidden="0" customHeight="1">
      <x:c r="A19" s="36" t="str">
        <x:v>lci_pessoa_fisica_isenta</x:v>
      </x:c>
      <x:c r="B19" s="36" t="str">
        <x:v>renda_fixa</x:v>
      </x:c>
      <x:c r="C19" s="36" t="str">
        <x:v>regressao_implementacao_pendente_revisao</x:v>
      </x:c>
      <x:c r="D19" s="36" t="str">
        <x:v>lci</x:v>
      </x:c>
      <x:c r="E19" s="46" t="str">
        <x:v>VALIDADO_PRIMEIRA_CAMADA</x:v>
      </x:c>
      <x:c r="F19" s="37" t="n">
        <x:v>10000</x:v>
      </x:c>
      <x:c r="G19" s="37" t="n">
        <x:v>11000</x:v>
      </x:c>
      <x:c r="H19" s="37" t="n">
        <x:f>MAX(0,G19-F19)</x:f>
        <x:v>1000</x:v>
      </x:c>
      <x:c r="I19" s="39" t="n">
        <x:v>46023</x:v>
      </x:c>
      <x:c r="J19" s="39" t="n">
        <x:v>46204</x:v>
      </x:c>
      <x:c r="K19" s="36" t="n">
        <x:f>J19-I19</x:f>
        <x:v>181</x:v>
      </x:c>
      <x:c r="L19" s="36" t="str">
        <x:v>{"pessoa_fisica":true}</x:v>
      </x:c>
      <x:c r="M19" s="37" t="n">
        <x:v>0</x:v>
      </x:c>
      <x:c r="N19" s="37" t="n">
        <x:v>11000</x:v>
      </x:c>
      <x:c r="O19" s="38" t="n">
        <x:v>0</x:v>
      </x:c>
      <x:c r="P19" s="36" t="str">
        <x:v>exata_para_premissas</x:v>
      </x:c>
      <x:c r="Q19" s="36" t="str">
        <x:v>rf_isenta_pf_2026</x:v>
      </x:c>
      <x:c r="R19" s="37" t="n">
        <x:v>0</x:v>
      </x:c>
      <x:c r="S19" s="37" t="n">
        <x:v>11000</x:v>
      </x:c>
      <x:c r="T19" s="38" t="n">
        <x:v>0</x:v>
      </x:c>
      <x:c r="U19" s="36" t="str">
        <x:v>exata_para_premissas</x:v>
      </x:c>
      <x:c r="V19" s="36" t="str">
        <x:v>rf_isenta_pf_2026</x:v>
      </x:c>
      <x:c r="W19" s="37" t="n">
        <x:f>IF(OR(E19="NÃO RECALCULADO",E19="FORA_DO_ESCOPO"),"",R19-M19)</x:f>
        <x:v>0</x:v>
      </x:c>
      <x:c r="X19" s="37" t="n">
        <x:f>IF(OR(E19="NÃO RECALCULADO",E19="FORA_DO_ESCOPO"),"",S19-N19)</x:f>
        <x:v>0</x:v>
      </x:c>
      <x:c r="Y19" s="38" t="n">
        <x:f>IF(OR(E19="NÃO RECALCULADO",E19="FORA_DO_ESCOPO"),"",T19-O19)</x:f>
        <x:v>0</x:v>
      </x:c>
      <x:c r="Z19" s="36" t="str">
        <x:f>IF(E19="NÃO RECALCULADO","N/A",IF(E19="FORA_DO_ESCOPO",IF(AND(U19=P19,V19=Q19),"SIM","NÃO"),IF(AND(ABS(W19)&lt;=0.01,ABS(X19)&lt;=0.01,ABS(Y19)&lt;=0.000000001,U19=P19,V19=Q19),"SIM","NÃO")))</x:f>
        <x:v>SIM</x:v>
      </x:c>
      <x:c r="AA19" s="36" t="str"/>
      <x:c r="AB19" s="36" t="str">
        <x:v>Isenção informada para pessoa física.</x:v>
      </x:c>
      <x:c r="AC19" s="36" t="str">
        <x:v>lei_11033_2004</x:v>
      </x:c>
      <x:c r="AD19" s="42" t="str">
        <x:v>https://www.planalto.gov.br/ccivil_03/_ato2004-2006/2004/lei/l11033compilado.htm</x:v>
      </x:c>
      <x:c r="AE19" s="36" t="str">
        <x:v>validacao/tributacao/validar_renda_fixa_independente.py</x:v>
      </x:c>
      <x:c r="AF19" s="40" t="str"/>
      <x:c r="AG19" s="41"/>
      <x:c r="AH19" s="40" t="str"/>
    </x:row>
    <x:row r="20" ht="26.399999618530273" hidden="0" customHeight="1">
      <x:c r="A20" s="36" t="str">
        <x:v>lca_pessoa_fisica_isenta</x:v>
      </x:c>
      <x:c r="B20" s="36" t="str">
        <x:v>renda_fixa</x:v>
      </x:c>
      <x:c r="C20" s="36" t="str">
        <x:v>regressao_implementacao_pendente_revisao</x:v>
      </x:c>
      <x:c r="D20" s="36" t="str">
        <x:v>lca</x:v>
      </x:c>
      <x:c r="E20" s="47" t="str">
        <x:v>PENDENTE_PREMISSA</x:v>
      </x:c>
      <x:c r="F20" s="37" t="n">
        <x:v>10000</x:v>
      </x:c>
      <x:c r="G20" s="37" t="n">
        <x:v>11000</x:v>
      </x:c>
      <x:c r="H20" s="37" t="n">
        <x:f>MAX(0,G20-F20)</x:f>
        <x:v>1000</x:v>
      </x:c>
      <x:c r="I20" s="39" t="n">
        <x:v>46023</x:v>
      </x:c>
      <x:c r="J20" s="39" t="n">
        <x:v>46744</x:v>
      </x:c>
      <x:c r="K20" s="36" t="n">
        <x:f>J20-I20</x:f>
        <x:v>721</x:v>
      </x:c>
      <x:c r="L20" s="36" t="str">
        <x:v>{"pessoa_fisica":true}</x:v>
      </x:c>
      <x:c r="M20" s="37" t="n">
        <x:v>0</x:v>
      </x:c>
      <x:c r="N20" s="37" t="n">
        <x:v>11000</x:v>
      </x:c>
      <x:c r="O20" s="38" t="n">
        <x:v>0</x:v>
      </x:c>
      <x:c r="P20" s="36" t="str">
        <x:v>exata_para_premissas</x:v>
      </x:c>
      <x:c r="Q20" s="36" t="str">
        <x:v>rf_isenta_pf_2026</x:v>
      </x:c>
      <x:c r="R20" s="37" t="n">
        <x:v>0</x:v>
      </x:c>
      <x:c r="S20" s="37" t="n">
        <x:v>11000</x:v>
      </x:c>
      <x:c r="T20" s="38" t="n">
        <x:v>0</x:v>
      </x:c>
      <x:c r="U20" s="36" t="str">
        <x:v>exata_para_premissas</x:v>
      </x:c>
      <x:c r="V20" s="36" t="str">
        <x:v>rf_isenta_pf_2026</x:v>
      </x:c>
      <x:c r="W20" s="37" t="n">
        <x:f>IF(OR(E20="NÃO RECALCULADO",E20="FORA_DO_ESCOPO"),"",R20-M20)</x:f>
        <x:v>0</x:v>
      </x:c>
      <x:c r="X20" s="37" t="n">
        <x:f>IF(OR(E20="NÃO RECALCULADO",E20="FORA_DO_ESCOPO"),"",S20-N20)</x:f>
        <x:v>0</x:v>
      </x:c>
      <x:c r="Y20" s="38" t="n">
        <x:f>IF(OR(E20="NÃO RECALCULADO",E20="FORA_DO_ESCOPO"),"",T20-O20)</x:f>
        <x:v>0</x:v>
      </x:c>
      <x:c r="Z20" s="36" t="str">
        <x:f>IF(E20="NÃO RECALCULADO","N/A",IF(E20="FORA_DO_ESCOPO",IF(AND(U20=P20,V20=Q20),"SIM","NÃO"),IF(AND(ABS(W20)&lt;=0.01,ABS(X20)&lt;=0.01,ABS(Y20)&lt;=0.000000001,U20=P20,V20=Q20),"SIM","NÃO")))</x:f>
        <x:v>SIM</x:v>
      </x:c>
      <x:c r="AA20" s="36" t="str">
        <x:v>A legislação de 2026 foi mantida como hipótese até o resgate.</x:v>
      </x:c>
      <x:c r="AB20" s="36" t="str">
        <x:v>Isenção informada para pessoa física.</x:v>
      </x:c>
      <x:c r="AC20" s="36" t="str">
        <x:v>lei_11033_2004</x:v>
      </x:c>
      <x:c r="AD20" s="42" t="str">
        <x:v>https://www.planalto.gov.br/ccivil_03/_ato2004-2006/2004/lei/l11033compilado.htm</x:v>
      </x:c>
      <x:c r="AE20" s="36" t="str">
        <x:v>validacao/tributacao/validar_renda_fixa_independente.py</x:v>
      </x:c>
      <x:c r="AF20" s="40" t="str"/>
      <x:c r="AG20" s="41"/>
      <x:c r="AH20" s="40" t="str"/>
    </x:row>
    <x:row r="21" ht="26.399999618530273" hidden="0" customHeight="1">
      <x:c r="A21" s="36" t="str">
        <x:v>lci_pessoa_juridica_nao_isenta</x:v>
      </x:c>
      <x:c r="B21" s="36" t="str">
        <x:v>renda_fixa</x:v>
      </x:c>
      <x:c r="C21" s="36" t="str">
        <x:v>regressao_implementacao_pendente_revisao</x:v>
      </x:c>
      <x:c r="D21" s="36" t="str">
        <x:v>lci</x:v>
      </x:c>
      <x:c r="E21" s="49" t="str">
        <x:v>FORA_DO_ESCOPO</x:v>
      </x:c>
      <x:c r="F21" s="37" t="n">
        <x:v>10000</x:v>
      </x:c>
      <x:c r="G21" s="37" t="n">
        <x:v>11000</x:v>
      </x:c>
      <x:c r="H21" s="37" t="n">
        <x:f>MAX(0,G21-F21)</x:f>
        <x:v>1000</x:v>
      </x:c>
      <x:c r="I21" s="39" t="n">
        <x:v>46023</x:v>
      </x:c>
      <x:c r="J21" s="39" t="n">
        <x:v>46744</x:v>
      </x:c>
      <x:c r="K21" s="36" t="n">
        <x:f>J21-I21</x:f>
        <x:v>721</x:v>
      </x:c>
      <x:c r="L21" s="36" t="str">
        <x:v>{"pessoa_fisica":false}</x:v>
      </x:c>
      <x:c r="M21" s="37"/>
      <x:c r="N21" s="37"/>
      <x:c r="O21" s="38"/>
      <x:c r="P21" s="36" t="str">
        <x:v>indeterminada</x:v>
      </x:c>
      <x:c r="Q21" s="36" t="str">
        <x:v>pessoa_juridica_fora_escopo</x:v>
      </x:c>
      <x:c r="R21" s="37"/>
      <x:c r="S21" s="37"/>
      <x:c r="T21" s="38"/>
      <x:c r="U21" s="36" t="str">
        <x:v>indeterminada</x:v>
      </x:c>
      <x:c r="V21" s="36" t="str">
        <x:v>pessoa_juridica_fora_escopo</x:v>
      </x:c>
      <x:c r="W21" s="37" t="str">
        <x:f>IF(OR(E21="NÃO RECALCULADO",E21="FORA_DO_ESCOPO"),"",R21-M21)</x:f>
      </x:c>
      <x:c r="X21" s="37" t="str">
        <x:f>IF(OR(E21="NÃO RECALCULADO",E21="FORA_DO_ESCOPO"),"",S21-N21)</x:f>
      </x:c>
      <x:c r="Y21" s="38" t="str">
        <x:f>IF(OR(E21="NÃO RECALCULADO",E21="FORA_DO_ESCOPO"),"",T21-O21)</x:f>
      </x:c>
      <x:c r="Z21" s="36" t="str">
        <x:f>IF(E21="NÃO RECALCULADO","N/A",IF(E21="FORA_DO_ESCOPO",IF(AND(U21=P21,V21=Q21),"SIM","NÃO"),IF(AND(ABS(W21)&lt;=0.01,ABS(X21)&lt;=0.01,ABS(Y21)&lt;=0.000000001,U21=P21,V21=Q21),"SIM","NÃO")))</x:f>
        <x:v>SIM</x:v>
      </x:c>
      <x:c r="AA21" s="36" t="str">
        <x:v>IRPJ e CSLL não pertencem ao escopo deste motor.</x:v>
      </x:c>
      <x:c r="AB21" s="36" t="str">
        <x:v>Escopo declarado: pessoa física.</x:v>
      </x:c>
      <x:c r="AC21" s="36" t="str">
        <x:v>lei_11033_2004</x:v>
      </x:c>
      <x:c r="AD21" s="42" t="str">
        <x:v>https://www.planalto.gov.br/ccivil_03/_ato2004-2006/2004/lei/l11033compilado.htm</x:v>
      </x:c>
      <x:c r="AE21" s="36" t="str">
        <x:v>validacao/tributacao/validar_renda_fixa_independente.py</x:v>
      </x:c>
      <x:c r="AF21" s="40" t="str"/>
      <x:c r="AG21" s="41"/>
      <x:c r="AH21" s="40" t="str"/>
    </x:row>
    <x:row r="22" ht="26.399999618530273" hidden="0" customHeight="1">
      <x:c r="A22" s="36" t="str">
        <x:v>cdb_sem_ganho</x:v>
      </x:c>
      <x:c r="B22" s="36" t="str">
        <x:v>renda_fixa</x:v>
      </x:c>
      <x:c r="C22" s="36" t="str">
        <x:v>conformidade_fonte_oficial</x:v>
      </x:c>
      <x:c r="D22" s="36" t="str">
        <x:v>cdb</x:v>
      </x:c>
      <x:c r="E22" s="47" t="str">
        <x:v>PENDENTE_PREMISSA</x:v>
      </x:c>
      <x:c r="F22" s="37" t="n">
        <x:v>10000</x:v>
      </x:c>
      <x:c r="G22" s="37" t="n">
        <x:v>10000</x:v>
      </x:c>
      <x:c r="H22" s="37" t="n">
        <x:f>MAX(0,G22-F22)</x:f>
        <x:v>0</x:v>
      </x:c>
      <x:c r="I22" s="39" t="n">
        <x:v>46023</x:v>
      </x:c>
      <x:c r="J22" s="39" t="n">
        <x:v>46744</x:v>
      </x:c>
      <x:c r="K22" s="36" t="n">
        <x:f>J22-I22</x:f>
        <x:v>721</x:v>
      </x:c>
      <x:c r="L22" s="36" t="str"/>
      <x:c r="M22" s="37" t="n">
        <x:v>0</x:v>
      </x:c>
      <x:c r="N22" s="37" t="n">
        <x:v>10000</x:v>
      </x:c>
      <x:c r="O22" s="38" t="n">
        <x:v>0</x:v>
      </x:c>
      <x:c r="P22" s="36" t="str">
        <x:v>exata_para_premissas</x:v>
      </x:c>
      <x:c r="Q22" s="36" t="str">
        <x:v>rf_regressiva_2026</x:v>
      </x:c>
      <x:c r="R22" s="37" t="n">
        <x:v>0</x:v>
      </x:c>
      <x:c r="S22" s="37" t="n">
        <x:v>10000</x:v>
      </x:c>
      <x:c r="T22" s="38" t="n">
        <x:v>0</x:v>
      </x:c>
      <x:c r="U22" s="36" t="str">
        <x:v>exata_para_premissas</x:v>
      </x:c>
      <x:c r="V22" s="36" t="str">
        <x:v>rf_regressiva_2026</x:v>
      </x:c>
      <x:c r="W22" s="37" t="n">
        <x:f>IF(OR(E22="NÃO RECALCULADO",E22="FORA_DO_ESCOPO"),"",R22-M22)</x:f>
        <x:v>0</x:v>
      </x:c>
      <x:c r="X22" s="37" t="n">
        <x:f>IF(OR(E22="NÃO RECALCULADO",E22="FORA_DO_ESCOPO"),"",S22-N22)</x:f>
        <x:v>0</x:v>
      </x:c>
      <x:c r="Y22" s="38" t="n">
        <x:f>IF(OR(E22="NÃO RECALCULADO",E22="FORA_DO_ESCOPO"),"",T22-O22)</x:f>
        <x:v>0</x:v>
      </x:c>
      <x:c r="Z22" s="36" t="str">
        <x:f>IF(E22="NÃO RECALCULADO","N/A",IF(E22="FORA_DO_ESCOPO",IF(AND(U22=P22,V22=Q22),"SIM","NÃO"),IF(AND(ABS(W22)&lt;=0.01,ABS(X22)&lt;=0.01,ABS(Y22)&lt;=0.000000001,U22=P22,V22=Q22),"SIM","NÃO")))</x:f>
        <x:v>SIM</x:v>
      </x:c>
      <x:c r="AA22" s="36" t="str">
        <x:v>A legislação de 2026 foi mantida como hipótese até o resgate.</x:v>
      </x:c>
      <x:c r="AB22" s="36" t="str">
        <x:v>IOF calculado antes do IR para prazos inferiores a 30 dias.
IR regressivo por prazo sobre o rendimento líquido de IOF.</x:v>
      </x:c>
      <x:c r="AC22" s="36" t="str">
        <x:v>receita_tabelas_2026</x:v>
      </x:c>
      <x:c r="AD22" s="42" t="str">
        <x:v>https://www.gov.br/receitafederal/pt-br/assuntos/meu-imposto-de-renda/tabelas/2026</x:v>
      </x:c>
      <x:c r="AE22" s="36" t="str">
        <x:v>validacao/tributacao/validar_renda_fixa_independente.py</x:v>
      </x:c>
      <x:c r="AF22" s="40" t="str"/>
      <x:c r="AG22" s="41"/>
      <x:c r="AH22" s="40" t="str"/>
    </x:row>
    <x:row r="23" ht="52.79999923706055" hidden="0" customHeight="1">
      <x:c r="A23" s="36" t="str">
        <x:v>fundo_curto_10_dias_com_iof</x:v>
      </x:c>
      <x:c r="B23" s="36" t="str">
        <x:v>fundos</x:v>
      </x:c>
      <x:c r="C23" s="36" t="str">
        <x:v>conformidade_fonte_oficial</x:v>
      </x:c>
      <x:c r="D23" s="36" t="str">
        <x:v>fundo_curto_prazo</x:v>
      </x:c>
      <x:c r="E23" s="46" t="str">
        <x:v>VALIDADO_PRIMEIRA_CAMADA</x:v>
      </x:c>
      <x:c r="F23" s="37" t="n">
        <x:v>10000</x:v>
      </x:c>
      <x:c r="G23" s="37" t="n">
        <x:v>11000</x:v>
      </x:c>
      <x:c r="H23" s="37" t="n">
        <x:f>MAX(0,G23-F23)</x:f>
        <x:v>1000</x:v>
      </x:c>
      <x:c r="I23" s="39" t="n">
        <x:v>46023</x:v>
      </x:c>
      <x:c r="J23" s="39" t="n">
        <x:v>46033</x:v>
      </x:c>
      <x:c r="K23" s="36" t="n">
        <x:f>J23-I23</x:f>
        <x:v>10</x:v>
      </x:c>
      <x:c r="L23" s="36" t="str">
        <x:v>{"metadados":{"come_cotas_pago":0}}</x:v>
      </x:c>
      <x:c r="M23" s="37" t="n">
        <x:v>736.5</x:v>
      </x:c>
      <x:c r="N23" s="37" t="n">
        <x:v>10263.5</x:v>
      </x:c>
      <x:c r="O23" s="38" t="n">
        <x:v>0.7365</x:v>
      </x:c>
      <x:c r="P23" s="36" t="str">
        <x:v>estimada</x:v>
      </x:c>
      <x:c r="Q23" s="36" t="str">
        <x:v>fundo_curto_prazo_2026</x:v>
      </x:c>
      <x:c r="R23" s="37" t="n">
        <x:v>736.5</x:v>
      </x:c>
      <x:c r="S23" s="37" t="n">
        <x:v>10263.5</x:v>
      </x:c>
      <x:c r="T23" s="38" t="n">
        <x:v>0.7365</x:v>
      </x:c>
      <x:c r="U23" s="36" t="str">
        <x:v>estimada</x:v>
      </x:c>
      <x:c r="V23" s="36" t="str">
        <x:v>fundo_curto_prazo_2026</x:v>
      </x:c>
      <x:c r="W23" s="37" t="n">
        <x:f>IF(OR(E23="NÃO RECALCULADO",E23="FORA_DO_ESCOPO"),"",R23-M23)</x:f>
        <x:v>0</x:v>
      </x:c>
      <x:c r="X23" s="37" t="n">
        <x:f>IF(OR(E23="NÃO RECALCULADO",E23="FORA_DO_ESCOPO"),"",S23-N23)</x:f>
        <x:v>0</x:v>
      </x:c>
      <x:c r="Y23" s="38" t="n">
        <x:f>IF(OR(E23="NÃO RECALCULADO",E23="FORA_DO_ESCOPO"),"",T23-O23)</x:f>
        <x:v>0</x:v>
      </x:c>
      <x:c r="Z23" s="36" t="str">
        <x:f>IF(E23="NÃO RECALCULADO","N/A",IF(E23="FORA_DO_ESCOPO",IF(AND(U23=P23,V23=Q23),"SIM","NÃO"),IF(AND(ABS(W23)&lt;=0.01,ABS(X23)&lt;=0.01,ABS(Y23)&lt;=0.000000001,U23=P23,V23=Q23),"SIM","NÃO")))</x:f>
        <x:v>SIM</x:v>
      </x:c>
      <x:c r="AA23" s="36" t="str"/>
      <x:c r="AB23" s="36" t="str">
        <x:v>IOF calculado antes do IR quando o prazo é inferior a 30 dias.
Come-cotas informado reduz somente o IR adicional no resgate.</x:v>
      </x:c>
      <x:c r="AC23" s="36" t="str">
        <x:v>receita_tabelas_2026; receita_fundos</x:v>
      </x:c>
      <x:c r="AD23" s="42" t="str">
        <x:v>https://www.gov.br/receitafederal/pt-br/assuntos/meu-imposto-de-renda/tabelas/2026
https://www.gov.br/receitafederal/pt-br/assuntos/meu-imposto-de-renda/pagamento/renda-variavel/fundos-de-investimento-no-brasil</x:v>
      </x:c>
      <x:c r="AE23" s="36" t="str">
        <x:v>validacao/tributacao/validar_fundos_independente.py</x:v>
      </x:c>
      <x:c r="AF23" s="40" t="str"/>
      <x:c r="AG23" s="41"/>
      <x:c r="AH23" s="40" t="str"/>
    </x:row>
    <x:row r="24" ht="26.399999618530273" hidden="0" customHeight="1">
      <x:c r="A24" s="36" t="str">
        <x:v>fundo_curto_180_dias</x:v>
      </x:c>
      <x:c r="B24" s="36" t="str">
        <x:v>fundos</x:v>
      </x:c>
      <x:c r="C24" s="36" t="str">
        <x:v>conformidade_fonte_oficial</x:v>
      </x:c>
      <x:c r="D24" s="36" t="str">
        <x:v>fundo_curto_prazo</x:v>
      </x:c>
      <x:c r="E24" s="46" t="str">
        <x:v>VALIDADO_PRIMEIRA_CAMADA</x:v>
      </x:c>
      <x:c r="F24" s="37" t="n">
        <x:v>10000</x:v>
      </x:c>
      <x:c r="G24" s="37" t="n">
        <x:v>11000</x:v>
      </x:c>
      <x:c r="H24" s="37" t="n">
        <x:f>MAX(0,G24-F24)</x:f>
        <x:v>1000</x:v>
      </x:c>
      <x:c r="I24" s="39" t="n">
        <x:v>46023</x:v>
      </x:c>
      <x:c r="J24" s="39" t="n">
        <x:v>46203</x:v>
      </x:c>
      <x:c r="K24" s="36" t="n">
        <x:f>J24-I24</x:f>
        <x:v>180</x:v>
      </x:c>
      <x:c r="L24" s="36" t="str">
        <x:v>{"metadados":{"come_cotas_pago":0}}</x:v>
      </x:c>
      <x:c r="M24" s="37" t="n">
        <x:v>225</x:v>
      </x:c>
      <x:c r="N24" s="37" t="n">
        <x:v>10775</x:v>
      </x:c>
      <x:c r="O24" s="38" t="n">
        <x:v>0.225</x:v>
      </x:c>
      <x:c r="P24" s="36" t="str">
        <x:v>estimada</x:v>
      </x:c>
      <x:c r="Q24" s="36" t="str">
        <x:v>fundo_curto_prazo_2026</x:v>
      </x:c>
      <x:c r="R24" s="37" t="n">
        <x:v>225</x:v>
      </x:c>
      <x:c r="S24" s="37" t="n">
        <x:v>10775</x:v>
      </x:c>
      <x:c r="T24" s="38" t="n">
        <x:v>0.225</x:v>
      </x:c>
      <x:c r="U24" s="36" t="str">
        <x:v>estimada</x:v>
      </x:c>
      <x:c r="V24" s="36" t="str">
        <x:v>fundo_curto_prazo_2026</x:v>
      </x:c>
      <x:c r="W24" s="37" t="n">
        <x:f>IF(OR(E24="NÃO RECALCULADO",E24="FORA_DO_ESCOPO"),"",R24-M24)</x:f>
        <x:v>0</x:v>
      </x:c>
      <x:c r="X24" s="37" t="n">
        <x:f>IF(OR(E24="NÃO RECALCULADO",E24="FORA_DO_ESCOPO"),"",S24-N24)</x:f>
        <x:v>0</x:v>
      </x:c>
      <x:c r="Y24" s="38" t="n">
        <x:f>IF(OR(E24="NÃO RECALCULADO",E24="FORA_DO_ESCOPO"),"",T24-O24)</x:f>
        <x:v>0</x:v>
      </x:c>
      <x:c r="Z24" s="36" t="str">
        <x:f>IF(E24="NÃO RECALCULADO","N/A",IF(E24="FORA_DO_ESCOPO",IF(AND(U24=P24,V24=Q24),"SIM","NÃO"),IF(AND(ABS(W24)&lt;=0.01,ABS(X24)&lt;=0.01,ABS(Y24)&lt;=0.000000001,U24=P24,V24=Q24),"SIM","NÃO")))</x:f>
        <x:v>SIM</x:v>
      </x:c>
      <x:c r="AA24" s="36" t="str"/>
      <x:c r="AB24" s="36" t="str">
        <x:v>IOF calculado antes do IR quando o prazo é inferior a 30 dias.
Come-cotas informado reduz somente o IR adicional no resgate.</x:v>
      </x:c>
      <x:c r="AC24" s="36" t="str">
        <x:v>receita_tabelas_2026</x:v>
      </x:c>
      <x:c r="AD24" s="42" t="str">
        <x:v>https://www.gov.br/receitafederal/pt-br/assuntos/meu-imposto-de-renda/tabelas/2026</x:v>
      </x:c>
      <x:c r="AE24" s="36" t="str">
        <x:v>validacao/tributacao/validar_fundos_independente.py</x:v>
      </x:c>
      <x:c r="AF24" s="40" t="str"/>
      <x:c r="AG24" s="41"/>
      <x:c r="AH24" s="40" t="str"/>
    </x:row>
    <x:row r="25" ht="26.399999618530273" hidden="0" customHeight="1">
      <x:c r="A25" s="36" t="str">
        <x:v>fundo_curto_181_dias</x:v>
      </x:c>
      <x:c r="B25" s="36" t="str">
        <x:v>fundos</x:v>
      </x:c>
      <x:c r="C25" s="36" t="str">
        <x:v>conformidade_fonte_oficial</x:v>
      </x:c>
      <x:c r="D25" s="36" t="str">
        <x:v>fundo_curto_prazo</x:v>
      </x:c>
      <x:c r="E25" s="46" t="str">
        <x:v>VALIDADO_PRIMEIRA_CAMADA</x:v>
      </x:c>
      <x:c r="F25" s="37" t="n">
        <x:v>10000</x:v>
      </x:c>
      <x:c r="G25" s="37" t="n">
        <x:v>11000</x:v>
      </x:c>
      <x:c r="H25" s="37" t="n">
        <x:f>MAX(0,G25-F25)</x:f>
        <x:v>1000</x:v>
      </x:c>
      <x:c r="I25" s="39" t="n">
        <x:v>46023</x:v>
      </x:c>
      <x:c r="J25" s="39" t="n">
        <x:v>46204</x:v>
      </x:c>
      <x:c r="K25" s="36" t="n">
        <x:f>J25-I25</x:f>
        <x:v>181</x:v>
      </x:c>
      <x:c r="L25" s="36" t="str">
        <x:v>{"metadados":{"come_cotas_pago":0}}</x:v>
      </x:c>
      <x:c r="M25" s="37" t="n">
        <x:v>200</x:v>
      </x:c>
      <x:c r="N25" s="37" t="n">
        <x:v>10800</x:v>
      </x:c>
      <x:c r="O25" s="38" t="n">
        <x:v>0.2</x:v>
      </x:c>
      <x:c r="P25" s="36" t="str">
        <x:v>estimada</x:v>
      </x:c>
      <x:c r="Q25" s="36" t="str">
        <x:v>fundo_curto_prazo_2026</x:v>
      </x:c>
      <x:c r="R25" s="37" t="n">
        <x:v>200</x:v>
      </x:c>
      <x:c r="S25" s="37" t="n">
        <x:v>10800</x:v>
      </x:c>
      <x:c r="T25" s="38" t="n">
        <x:v>0.2</x:v>
      </x:c>
      <x:c r="U25" s="36" t="str">
        <x:v>estimada</x:v>
      </x:c>
      <x:c r="V25" s="36" t="str">
        <x:v>fundo_curto_prazo_2026</x:v>
      </x:c>
      <x:c r="W25" s="37" t="n">
        <x:f>IF(OR(E25="NÃO RECALCULADO",E25="FORA_DO_ESCOPO"),"",R25-M25)</x:f>
        <x:v>0</x:v>
      </x:c>
      <x:c r="X25" s="37" t="n">
        <x:f>IF(OR(E25="NÃO RECALCULADO",E25="FORA_DO_ESCOPO"),"",S25-N25)</x:f>
        <x:v>0</x:v>
      </x:c>
      <x:c r="Y25" s="38" t="n">
        <x:f>IF(OR(E25="NÃO RECALCULADO",E25="FORA_DO_ESCOPO"),"",T25-O25)</x:f>
        <x:v>0</x:v>
      </x:c>
      <x:c r="Z25" s="36" t="str">
        <x:f>IF(E25="NÃO RECALCULADO","N/A",IF(E25="FORA_DO_ESCOPO",IF(AND(U25=P25,V25=Q25),"SIM","NÃO"),IF(AND(ABS(W25)&lt;=0.01,ABS(X25)&lt;=0.01,ABS(Y25)&lt;=0.000000001,U25=P25,V25=Q25),"SIM","NÃO")))</x:f>
        <x:v>SIM</x:v>
      </x:c>
      <x:c r="AA25" s="36" t="str"/>
      <x:c r="AB25" s="36" t="str">
        <x:v>IOF calculado antes do IR quando o prazo é inferior a 30 dias.
Come-cotas informado reduz somente o IR adicional no resgate.</x:v>
      </x:c>
      <x:c r="AC25" s="36" t="str">
        <x:v>receita_tabelas_2026</x:v>
      </x:c>
      <x:c r="AD25" s="42" t="str">
        <x:v>https://www.gov.br/receitafederal/pt-br/assuntos/meu-imposto-de-renda/tabelas/2026</x:v>
      </x:c>
      <x:c r="AE25" s="36" t="str">
        <x:v>validacao/tributacao/validar_fundos_independente.py</x:v>
      </x:c>
      <x:c r="AF25" s="40" t="str"/>
      <x:c r="AG25" s="41"/>
      <x:c r="AH25" s="40" t="str"/>
    </x:row>
    <x:row r="26" ht="26.399999618530273" hidden="0" customHeight="1">
      <x:c r="A26" s="36" t="str">
        <x:v>fundo_longo_180_dias</x:v>
      </x:c>
      <x:c r="B26" s="36" t="str">
        <x:v>fundos</x:v>
      </x:c>
      <x:c r="C26" s="36" t="str">
        <x:v>conformidade_fonte_oficial</x:v>
      </x:c>
      <x:c r="D26" s="36" t="str">
        <x:v>fundo_longo_prazo</x:v>
      </x:c>
      <x:c r="E26" s="46" t="str">
        <x:v>VALIDADO_PRIMEIRA_CAMADA</x:v>
      </x:c>
      <x:c r="F26" s="37" t="n">
        <x:v>10000</x:v>
      </x:c>
      <x:c r="G26" s="37" t="n">
        <x:v>11000</x:v>
      </x:c>
      <x:c r="H26" s="37" t="n">
        <x:f>MAX(0,G26-F26)</x:f>
        <x:v>1000</x:v>
      </x:c>
      <x:c r="I26" s="39" t="n">
        <x:v>46023</x:v>
      </x:c>
      <x:c r="J26" s="39" t="n">
        <x:v>46203</x:v>
      </x:c>
      <x:c r="K26" s="36" t="n">
        <x:f>J26-I26</x:f>
        <x:v>180</x:v>
      </x:c>
      <x:c r="L26" s="36" t="str">
        <x:v>{"metadados":{"come_cotas_pago":0}}</x:v>
      </x:c>
      <x:c r="M26" s="37" t="n">
        <x:v>225</x:v>
      </x:c>
      <x:c r="N26" s="37" t="n">
        <x:v>10775</x:v>
      </x:c>
      <x:c r="O26" s="38" t="n">
        <x:v>0.225</x:v>
      </x:c>
      <x:c r="P26" s="36" t="str">
        <x:v>estimada</x:v>
      </x:c>
      <x:c r="Q26" s="36" t="str">
        <x:v>fundo_longo_prazo_2026</x:v>
      </x:c>
      <x:c r="R26" s="37" t="n">
        <x:v>225</x:v>
      </x:c>
      <x:c r="S26" s="37" t="n">
        <x:v>10775</x:v>
      </x:c>
      <x:c r="T26" s="38" t="n">
        <x:v>0.225</x:v>
      </x:c>
      <x:c r="U26" s="36" t="str">
        <x:v>estimada</x:v>
      </x:c>
      <x:c r="V26" s="36" t="str">
        <x:v>fundo_longo_prazo_2026</x:v>
      </x:c>
      <x:c r="W26" s="37" t="n">
        <x:f>IF(OR(E26="NÃO RECALCULADO",E26="FORA_DO_ESCOPO"),"",R26-M26)</x:f>
        <x:v>0</x:v>
      </x:c>
      <x:c r="X26" s="37" t="n">
        <x:f>IF(OR(E26="NÃO RECALCULADO",E26="FORA_DO_ESCOPO"),"",S26-N26)</x:f>
        <x:v>0</x:v>
      </x:c>
      <x:c r="Y26" s="38" t="n">
        <x:f>IF(OR(E26="NÃO RECALCULADO",E26="FORA_DO_ESCOPO"),"",T26-O26)</x:f>
        <x:v>0</x:v>
      </x:c>
      <x:c r="Z26" s="36" t="str">
        <x:f>IF(E26="NÃO RECALCULADO","N/A",IF(E26="FORA_DO_ESCOPO",IF(AND(U26=P26,V26=Q26),"SIM","NÃO"),IF(AND(ABS(W26)&lt;=0.01,ABS(X26)&lt;=0.01,ABS(Y26)&lt;=0.000000001,U26=P26,V26=Q26),"SIM","NÃO")))</x:f>
        <x:v>SIM</x:v>
      </x:c>
      <x:c r="AA26" s="36" t="str"/>
      <x:c r="AB26" s="36" t="str">
        <x:v>IOF calculado antes do IR quando o prazo é inferior a 30 dias.
Come-cotas informado reduz somente o IR adicional no resgate.</x:v>
      </x:c>
      <x:c r="AC26" s="36" t="str">
        <x:v>receita_tabelas_2026</x:v>
      </x:c>
      <x:c r="AD26" s="42" t="str">
        <x:v>https://www.gov.br/receitafederal/pt-br/assuntos/meu-imposto-de-renda/tabelas/2026</x:v>
      </x:c>
      <x:c r="AE26" s="36" t="str">
        <x:v>validacao/tributacao/validar_fundos_independente.py</x:v>
      </x:c>
      <x:c r="AF26" s="40" t="str"/>
      <x:c r="AG26" s="41"/>
      <x:c r="AH26" s="40" t="str"/>
    </x:row>
    <x:row r="27" ht="26.399999618530273" hidden="0" customHeight="1">
      <x:c r="A27" s="36" t="str">
        <x:v>fundo_longo_181_dias</x:v>
      </x:c>
      <x:c r="B27" s="36" t="str">
        <x:v>fundos</x:v>
      </x:c>
      <x:c r="C27" s="36" t="str">
        <x:v>conformidade_fonte_oficial</x:v>
      </x:c>
      <x:c r="D27" s="36" t="str">
        <x:v>fundo_longo_prazo</x:v>
      </x:c>
      <x:c r="E27" s="46" t="str">
        <x:v>VALIDADO_PRIMEIRA_CAMADA</x:v>
      </x:c>
      <x:c r="F27" s="37" t="n">
        <x:v>10000</x:v>
      </x:c>
      <x:c r="G27" s="37" t="n">
        <x:v>11000</x:v>
      </x:c>
      <x:c r="H27" s="37" t="n">
        <x:f>MAX(0,G27-F27)</x:f>
        <x:v>1000</x:v>
      </x:c>
      <x:c r="I27" s="39" t="n">
        <x:v>46023</x:v>
      </x:c>
      <x:c r="J27" s="39" t="n">
        <x:v>46204</x:v>
      </x:c>
      <x:c r="K27" s="36" t="n">
        <x:f>J27-I27</x:f>
        <x:v>181</x:v>
      </x:c>
      <x:c r="L27" s="36" t="str">
        <x:v>{"metadados":{"come_cotas_pago":0}}</x:v>
      </x:c>
      <x:c r="M27" s="37" t="n">
        <x:v>200</x:v>
      </x:c>
      <x:c r="N27" s="37" t="n">
        <x:v>10800</x:v>
      </x:c>
      <x:c r="O27" s="38" t="n">
        <x:v>0.2</x:v>
      </x:c>
      <x:c r="P27" s="36" t="str">
        <x:v>estimada</x:v>
      </x:c>
      <x:c r="Q27" s="36" t="str">
        <x:v>fundo_longo_prazo_2026</x:v>
      </x:c>
      <x:c r="R27" s="37" t="n">
        <x:v>200</x:v>
      </x:c>
      <x:c r="S27" s="37" t="n">
        <x:v>10800</x:v>
      </x:c>
      <x:c r="T27" s="38" t="n">
        <x:v>0.2</x:v>
      </x:c>
      <x:c r="U27" s="36" t="str">
        <x:v>estimada</x:v>
      </x:c>
      <x:c r="V27" s="36" t="str">
        <x:v>fundo_longo_prazo_2026</x:v>
      </x:c>
      <x:c r="W27" s="37" t="n">
        <x:f>IF(OR(E27="NÃO RECALCULADO",E27="FORA_DO_ESCOPO"),"",R27-M27)</x:f>
        <x:v>0</x:v>
      </x:c>
      <x:c r="X27" s="37" t="n">
        <x:f>IF(OR(E27="NÃO RECALCULADO",E27="FORA_DO_ESCOPO"),"",S27-N27)</x:f>
        <x:v>0</x:v>
      </x:c>
      <x:c r="Y27" s="38" t="n">
        <x:f>IF(OR(E27="NÃO RECALCULADO",E27="FORA_DO_ESCOPO"),"",T27-O27)</x:f>
        <x:v>0</x:v>
      </x:c>
      <x:c r="Z27" s="36" t="str">
        <x:f>IF(E27="NÃO RECALCULADO","N/A",IF(E27="FORA_DO_ESCOPO",IF(AND(U27=P27,V27=Q27),"SIM","NÃO"),IF(AND(ABS(W27)&lt;=0.01,ABS(X27)&lt;=0.01,ABS(Y27)&lt;=0.000000001,U27=P27,V27=Q27),"SIM","NÃO")))</x:f>
        <x:v>SIM</x:v>
      </x:c>
      <x:c r="AA27" s="36" t="str"/>
      <x:c r="AB27" s="36" t="str">
        <x:v>IOF calculado antes do IR quando o prazo é inferior a 30 dias.
Come-cotas informado reduz somente o IR adicional no resgate.</x:v>
      </x:c>
      <x:c r="AC27" s="36" t="str">
        <x:v>receita_tabelas_2026</x:v>
      </x:c>
      <x:c r="AD27" s="42" t="str">
        <x:v>https://www.gov.br/receitafederal/pt-br/assuntos/meu-imposto-de-renda/tabelas/2026</x:v>
      </x:c>
      <x:c r="AE27" s="36" t="str">
        <x:v>validacao/tributacao/validar_fundos_independente.py</x:v>
      </x:c>
      <x:c r="AF27" s="40" t="str"/>
      <x:c r="AG27" s="41"/>
      <x:c r="AH27" s="40" t="str"/>
    </x:row>
    <x:row r="28" ht="26.399999618530273" hidden="0" customHeight="1">
      <x:c r="A28" s="36" t="str">
        <x:v>fundo_longo_361_dias</x:v>
      </x:c>
      <x:c r="B28" s="36" t="str">
        <x:v>fundos</x:v>
      </x:c>
      <x:c r="C28" s="36" t="str">
        <x:v>conformidade_fonte_oficial</x:v>
      </x:c>
      <x:c r="D28" s="36" t="str">
        <x:v>fundo_longo_prazo</x:v>
      </x:c>
      <x:c r="E28" s="46" t="str">
        <x:v>VALIDADO_PRIMEIRA_CAMADA</x:v>
      </x:c>
      <x:c r="F28" s="37" t="n">
        <x:v>10000</x:v>
      </x:c>
      <x:c r="G28" s="37" t="n">
        <x:v>11000</x:v>
      </x:c>
      <x:c r="H28" s="37" t="n">
        <x:f>MAX(0,G28-F28)</x:f>
        <x:v>1000</x:v>
      </x:c>
      <x:c r="I28" s="39" t="n">
        <x:v>46023</x:v>
      </x:c>
      <x:c r="J28" s="39" t="n">
        <x:v>46384</x:v>
      </x:c>
      <x:c r="K28" s="36" t="n">
        <x:f>J28-I28</x:f>
        <x:v>361</x:v>
      </x:c>
      <x:c r="L28" s="36" t="str">
        <x:v>{"metadados":{"come_cotas_pago":0}}</x:v>
      </x:c>
      <x:c r="M28" s="37" t="n">
        <x:v>175</x:v>
      </x:c>
      <x:c r="N28" s="37" t="n">
        <x:v>10825</x:v>
      </x:c>
      <x:c r="O28" s="38" t="n">
        <x:v>0.175</x:v>
      </x:c>
      <x:c r="P28" s="36" t="str">
        <x:v>estimada</x:v>
      </x:c>
      <x:c r="Q28" s="36" t="str">
        <x:v>fundo_longo_prazo_2026</x:v>
      </x:c>
      <x:c r="R28" s="37" t="n">
        <x:v>175</x:v>
      </x:c>
      <x:c r="S28" s="37" t="n">
        <x:v>10825</x:v>
      </x:c>
      <x:c r="T28" s="38" t="n">
        <x:v>0.175</x:v>
      </x:c>
      <x:c r="U28" s="36" t="str">
        <x:v>estimada</x:v>
      </x:c>
      <x:c r="V28" s="36" t="str">
        <x:v>fundo_longo_prazo_2026</x:v>
      </x:c>
      <x:c r="W28" s="37" t="n">
        <x:f>IF(OR(E28="NÃO RECALCULADO",E28="FORA_DO_ESCOPO"),"",R28-M28)</x:f>
        <x:v>0</x:v>
      </x:c>
      <x:c r="X28" s="37" t="n">
        <x:f>IF(OR(E28="NÃO RECALCULADO",E28="FORA_DO_ESCOPO"),"",S28-N28)</x:f>
        <x:v>0</x:v>
      </x:c>
      <x:c r="Y28" s="38" t="n">
        <x:f>IF(OR(E28="NÃO RECALCULADO",E28="FORA_DO_ESCOPO"),"",T28-O28)</x:f>
        <x:v>0</x:v>
      </x:c>
      <x:c r="Z28" s="36" t="str">
        <x:f>IF(E28="NÃO RECALCULADO","N/A",IF(E28="FORA_DO_ESCOPO",IF(AND(U28=P28,V28=Q28),"SIM","NÃO"),IF(AND(ABS(W28)&lt;=0.01,ABS(X28)&lt;=0.01,ABS(Y28)&lt;=0.000000001,U28=P28,V28=Q28),"SIM","NÃO")))</x:f>
        <x:v>SIM</x:v>
      </x:c>
      <x:c r="AA28" s="36" t="str"/>
      <x:c r="AB28" s="36" t="str">
        <x:v>IOF calculado antes do IR quando o prazo é inferior a 30 dias.
Come-cotas informado reduz somente o IR adicional no resgate.</x:v>
      </x:c>
      <x:c r="AC28" s="36" t="str">
        <x:v>receita_tabelas_2026</x:v>
      </x:c>
      <x:c r="AD28" s="42" t="str">
        <x:v>https://www.gov.br/receitafederal/pt-br/assuntos/meu-imposto-de-renda/tabelas/2026</x:v>
      </x:c>
      <x:c r="AE28" s="36" t="str">
        <x:v>validacao/tributacao/validar_fundos_independente.py</x:v>
      </x:c>
      <x:c r="AF28" s="40" t="str"/>
      <x:c r="AG28" s="41"/>
      <x:c r="AH28" s="40" t="str"/>
    </x:row>
    <x:row r="29" ht="26.399999618530273" hidden="0" customHeight="1">
      <x:c r="A29" s="36" t="str">
        <x:v>fundo_longo_721_dias</x:v>
      </x:c>
      <x:c r="B29" s="36" t="str">
        <x:v>fundos</x:v>
      </x:c>
      <x:c r="C29" s="36" t="str">
        <x:v>conformidade_fonte_oficial</x:v>
      </x:c>
      <x:c r="D29" s="36" t="str">
        <x:v>fundo_longo_prazo</x:v>
      </x:c>
      <x:c r="E29" s="47" t="str">
        <x:v>PENDENTE_PREMISSA</x:v>
      </x:c>
      <x:c r="F29" s="37" t="n">
        <x:v>10000</x:v>
      </x:c>
      <x:c r="G29" s="37" t="n">
        <x:v>11000</x:v>
      </x:c>
      <x:c r="H29" s="37" t="n">
        <x:f>MAX(0,G29-F29)</x:f>
        <x:v>1000</x:v>
      </x:c>
      <x:c r="I29" s="39" t="n">
        <x:v>46023</x:v>
      </x:c>
      <x:c r="J29" s="39" t="n">
        <x:v>46744</x:v>
      </x:c>
      <x:c r="K29" s="36" t="n">
        <x:f>J29-I29</x:f>
        <x:v>721</x:v>
      </x:c>
      <x:c r="L29" s="36" t="str">
        <x:v>{"metadados":{"come_cotas_pago":0}}</x:v>
      </x:c>
      <x:c r="M29" s="37" t="n">
        <x:v>150</x:v>
      </x:c>
      <x:c r="N29" s="37" t="n">
        <x:v>10850</x:v>
      </x:c>
      <x:c r="O29" s="38" t="n">
        <x:v>0.15</x:v>
      </x:c>
      <x:c r="P29" s="36" t="str">
        <x:v>estimada</x:v>
      </x:c>
      <x:c r="Q29" s="36" t="str">
        <x:v>fundo_longo_prazo_2026</x:v>
      </x:c>
      <x:c r="R29" s="37" t="n">
        <x:v>150</x:v>
      </x:c>
      <x:c r="S29" s="37" t="n">
        <x:v>10850</x:v>
      </x:c>
      <x:c r="T29" s="38" t="n">
        <x:v>0.15</x:v>
      </x:c>
      <x:c r="U29" s="36" t="str">
        <x:v>estimada</x:v>
      </x:c>
      <x:c r="V29" s="36" t="str">
        <x:v>fundo_longo_prazo_2026</x:v>
      </x:c>
      <x:c r="W29" s="37" t="n">
        <x:f>IF(OR(E29="NÃO RECALCULADO",E29="FORA_DO_ESCOPO"),"",R29-M29)</x:f>
        <x:v>0</x:v>
      </x:c>
      <x:c r="X29" s="37" t="n">
        <x:f>IF(OR(E29="NÃO RECALCULADO",E29="FORA_DO_ESCOPO"),"",S29-N29)</x:f>
        <x:v>0</x:v>
      </x:c>
      <x:c r="Y29" s="38" t="n">
        <x:f>IF(OR(E29="NÃO RECALCULADO",E29="FORA_DO_ESCOPO"),"",T29-O29)</x:f>
        <x:v>0</x:v>
      </x:c>
      <x:c r="Z29" s="36" t="str">
        <x:f>IF(E29="NÃO RECALCULADO","N/A",IF(E29="FORA_DO_ESCOPO",IF(AND(U29=P29,V29=Q29),"SIM","NÃO"),IF(AND(ABS(W29)&lt;=0.01,ABS(X29)&lt;=0.01,ABS(Y29)&lt;=0.000000001,U29=P29,V29=Q29),"SIM","NÃO")))</x:f>
        <x:v>SIM</x:v>
      </x:c>
      <x:c r="AA29" s="36" t="str">
        <x:v>A legislação de 2026 foi mantida como hipótese até o resgate.</x:v>
      </x:c>
      <x:c r="AB29" s="36" t="str">
        <x:v>IOF calculado antes do IR quando o prazo é inferior a 30 dias.
Come-cotas informado reduz somente o IR adicional no resgate.</x:v>
      </x:c>
      <x:c r="AC29" s="36" t="str">
        <x:v>receita_tabelas_2026</x:v>
      </x:c>
      <x:c r="AD29" s="42" t="str">
        <x:v>https://www.gov.br/receitafederal/pt-br/assuntos/meu-imposto-de-renda/tabelas/2026</x:v>
      </x:c>
      <x:c r="AE29" s="36" t="str">
        <x:v>validacao/tributacao/validar_fundos_independente.py</x:v>
      </x:c>
      <x:c r="AF29" s="40" t="str"/>
      <x:c r="AG29" s="41"/>
      <x:c r="AH29" s="40" t="str"/>
    </x:row>
    <x:row r="30" ht="26.399999618530273" hidden="0" customHeight="1">
      <x:c r="A30" s="36" t="str">
        <x:v>fundo_rf_721_dias</x:v>
      </x:c>
      <x:c r="B30" s="36" t="str">
        <x:v>fundos</x:v>
      </x:c>
      <x:c r="C30" s="36" t="str">
        <x:v>regressao_implementacao_pendente_revisao</x:v>
      </x:c>
      <x:c r="D30" s="36" t="str">
        <x:v>fundo_rf</x:v>
      </x:c>
      <x:c r="E30" s="47" t="str">
        <x:v>PENDENTE_PREMISSA</x:v>
      </x:c>
      <x:c r="F30" s="37" t="n">
        <x:v>10000</x:v>
      </x:c>
      <x:c r="G30" s="37" t="n">
        <x:v>11000</x:v>
      </x:c>
      <x:c r="H30" s="37" t="n">
        <x:f>MAX(0,G30-F30)</x:f>
        <x:v>1000</x:v>
      </x:c>
      <x:c r="I30" s="39" t="n">
        <x:v>46023</x:v>
      </x:c>
      <x:c r="J30" s="39" t="n">
        <x:v>46744</x:v>
      </x:c>
      <x:c r="K30" s="36" t="n">
        <x:f>J30-I30</x:f>
        <x:v>721</x:v>
      </x:c>
      <x:c r="L30" s="36" t="str">
        <x:v>{"metadados":{"come_cotas_pago":0}}</x:v>
      </x:c>
      <x:c r="M30" s="37" t="n">
        <x:v>150</x:v>
      </x:c>
      <x:c r="N30" s="37" t="n">
        <x:v>10850</x:v>
      </x:c>
      <x:c r="O30" s="38" t="n">
        <x:v>0.15</x:v>
      </x:c>
      <x:c r="P30" s="36" t="str">
        <x:v>estimada</x:v>
      </x:c>
      <x:c r="Q30" s="36" t="str">
        <x:v>fundo_rf_2026</x:v>
      </x:c>
      <x:c r="R30" s="37" t="n">
        <x:v>150</x:v>
      </x:c>
      <x:c r="S30" s="37" t="n">
        <x:v>10850</x:v>
      </x:c>
      <x:c r="T30" s="38" t="n">
        <x:v>0.15</x:v>
      </x:c>
      <x:c r="U30" s="36" t="str">
        <x:v>estimada</x:v>
      </x:c>
      <x:c r="V30" s="36" t="str">
        <x:v>fundo_rf_2026</x:v>
      </x:c>
      <x:c r="W30" s="37" t="n">
        <x:f>IF(OR(E30="NÃO RECALCULADO",E30="FORA_DO_ESCOPO"),"",R30-M30)</x:f>
        <x:v>0</x:v>
      </x:c>
      <x:c r="X30" s="37" t="n">
        <x:f>IF(OR(E30="NÃO RECALCULADO",E30="FORA_DO_ESCOPO"),"",S30-N30)</x:f>
        <x:v>0</x:v>
      </x:c>
      <x:c r="Y30" s="38" t="n">
        <x:f>IF(OR(E30="NÃO RECALCULADO",E30="FORA_DO_ESCOPO"),"",T30-O30)</x:f>
        <x:v>0</x:v>
      </x:c>
      <x:c r="Z30" s="36" t="str">
        <x:f>IF(E30="NÃO RECALCULADO","N/A",IF(E30="FORA_DO_ESCOPO",IF(AND(U30=P30,V30=Q30),"SIM","NÃO"),IF(AND(ABS(W30)&lt;=0.01,ABS(X30)&lt;=0.01,ABS(Y30)&lt;=0.000000001,U30=P30,V30=Q30),"SIM","NÃO")))</x:f>
        <x:v>SIM</x:v>
      </x:c>
      <x:c r="AA30" s="36" t="str">
        <x:v>A legislação de 2026 foi mantida como hipótese até o resgate.
Fundo RF genérico foi tratado como fundo de longo prazo.</x:v>
      </x:c>
      <x:c r="AB30" s="36" t="str">
        <x:v>IOF calculado antes do IR quando o prazo é inferior a 30 dias.
Come-cotas informado reduz somente o IR adicional no resgate.</x:v>
      </x:c>
      <x:c r="AC30" s="36" t="str">
        <x:v>receita_tabelas_2026</x:v>
      </x:c>
      <x:c r="AD30" s="42" t="str">
        <x:v>https://www.gov.br/receitafederal/pt-br/assuntos/meu-imposto-de-renda/tabelas/2026</x:v>
      </x:c>
      <x:c r="AE30" s="36" t="str">
        <x:v>validacao/tributacao/validar_fundos_independente.py</x:v>
      </x:c>
      <x:c r="AF30" s="40" t="str"/>
      <x:c r="AG30" s="41"/>
      <x:c r="AH30" s="40" t="str"/>
    </x:row>
    <x:row r="31" ht="39.599998474121094" hidden="0" customHeight="1">
      <x:c r="A31" s="36" t="str">
        <x:v>fundo_longo_com_come_cotas_parcial</x:v>
      </x:c>
      <x:c r="B31" s="36" t="str">
        <x:v>fundos</x:v>
      </x:c>
      <x:c r="C31" s="36" t="str">
        <x:v>regressao_implementacao_pendente_revisao</x:v>
      </x:c>
      <x:c r="D31" s="36" t="str">
        <x:v>fundo_longo_prazo</x:v>
      </x:c>
      <x:c r="E31" s="47" t="str">
        <x:v>PENDENTE_PREMISSA</x:v>
      </x:c>
      <x:c r="F31" s="37" t="n">
        <x:v>10000</x:v>
      </x:c>
      <x:c r="G31" s="37" t="n">
        <x:v>11000</x:v>
      </x:c>
      <x:c r="H31" s="37" t="n">
        <x:f>MAX(0,G31-F31)</x:f>
        <x:v>1000</x:v>
      </x:c>
      <x:c r="I31" s="39" t="n">
        <x:v>46023</x:v>
      </x:c>
      <x:c r="J31" s="39" t="n">
        <x:v>46744</x:v>
      </x:c>
      <x:c r="K31" s="36" t="n">
        <x:f>J31-I31</x:f>
        <x:v>721</x:v>
      </x:c>
      <x:c r="L31" s="36" t="str">
        <x:v>{"metadados":{"come_cotas_pago":100}}</x:v>
      </x:c>
      <x:c r="M31" s="37" t="n">
        <x:v>50</x:v>
      </x:c>
      <x:c r="N31" s="37" t="n">
        <x:v>10950</x:v>
      </x:c>
      <x:c r="O31" s="38" t="n">
        <x:v>0.05</x:v>
      </x:c>
      <x:c r="P31" s="36" t="str">
        <x:v>estimada</x:v>
      </x:c>
      <x:c r="Q31" s="36" t="str">
        <x:v>fundo_longo_prazo_2026</x:v>
      </x:c>
      <x:c r="R31" s="37" t="n">
        <x:v>50</x:v>
      </x:c>
      <x:c r="S31" s="37" t="n">
        <x:v>10950</x:v>
      </x:c>
      <x:c r="T31" s="38" t="n">
        <x:v>0.05</x:v>
      </x:c>
      <x:c r="U31" s="36" t="str">
        <x:v>estimada</x:v>
      </x:c>
      <x:c r="V31" s="36" t="str">
        <x:v>fundo_longo_prazo_2026</x:v>
      </x:c>
      <x:c r="W31" s="37" t="n">
        <x:f>IF(OR(E31="NÃO RECALCULADO",E31="FORA_DO_ESCOPO"),"",R31-M31)</x:f>
        <x:v>0</x:v>
      </x:c>
      <x:c r="X31" s="37" t="n">
        <x:f>IF(OR(E31="NÃO RECALCULADO",E31="FORA_DO_ESCOPO"),"",S31-N31)</x:f>
        <x:v>0</x:v>
      </x:c>
      <x:c r="Y31" s="38" t="n">
        <x:f>IF(OR(E31="NÃO RECALCULADO",E31="FORA_DO_ESCOPO"),"",T31-O31)</x:f>
        <x:v>0</x:v>
      </x:c>
      <x:c r="Z31" s="36" t="str">
        <x:f>IF(E31="NÃO RECALCULADO","N/A",IF(E31="FORA_DO_ESCOPO",IF(AND(U31=P31,V31=Q31),"SIM","NÃO"),IF(AND(ABS(W31)&lt;=0.01,ABS(X31)&lt;=0.01,ABS(Y31)&lt;=0.000000001,U31=P31,V31=Q31),"SIM","NÃO")))</x:f>
        <x:v>SIM</x:v>
      </x:c>
      <x:c r="AA31" s="36" t="str">
        <x:v>A legislação de 2026 foi mantida como hipótese até o resgate.
Come-cotas foi aceito como total informado, sem reconstrução de cotas.</x:v>
      </x:c>
      <x:c r="AB31" s="36" t="str">
        <x:v>IOF calculado antes do IR quando o prazo é inferior a 30 dias.
Come-cotas informado reduz somente o IR adicional no resgate.</x:v>
      </x:c>
      <x:c r="AC31" s="36" t="str">
        <x:v>receita_tabelas_2026</x:v>
      </x:c>
      <x:c r="AD31" s="42" t="str">
        <x:v>https://www.gov.br/receitafederal/pt-br/assuntos/meu-imposto-de-renda/tabelas/2026</x:v>
      </x:c>
      <x:c r="AE31" s="36" t="str">
        <x:v>validacao/tributacao/validar_fundos_independente.py</x:v>
      </x:c>
      <x:c r="AF31" s="40" t="str"/>
      <x:c r="AG31" s="41"/>
      <x:c r="AH31" s="40" t="str"/>
    </x:row>
    <x:row r="32" ht="39.599998474121094" hidden="0" customHeight="1">
      <x:c r="A32" s="36" t="str">
        <x:v>fundo_longo_come_cotas_superior_imposto_final</x:v>
      </x:c>
      <x:c r="B32" s="36" t="str">
        <x:v>fundos</x:v>
      </x:c>
      <x:c r="C32" s="36" t="str">
        <x:v>regressao_implementacao_pendente_revisao</x:v>
      </x:c>
      <x:c r="D32" s="36" t="str">
        <x:v>fundo_longo_prazo</x:v>
      </x:c>
      <x:c r="E32" s="47" t="str">
        <x:v>PENDENTE_PREMISSA</x:v>
      </x:c>
      <x:c r="F32" s="37" t="n">
        <x:v>10000</x:v>
      </x:c>
      <x:c r="G32" s="37" t="n">
        <x:v>11000</x:v>
      </x:c>
      <x:c r="H32" s="37" t="n">
        <x:f>MAX(0,G32-F32)</x:f>
        <x:v>1000</x:v>
      </x:c>
      <x:c r="I32" s="39" t="n">
        <x:v>46023</x:v>
      </x:c>
      <x:c r="J32" s="39" t="n">
        <x:v>46744</x:v>
      </x:c>
      <x:c r="K32" s="36" t="n">
        <x:f>J32-I32</x:f>
        <x:v>721</x:v>
      </x:c>
      <x:c r="L32" s="36" t="str">
        <x:v>{"metadados":{"come_cotas_pago":200}}</x:v>
      </x:c>
      <x:c r="M32" s="37" t="n">
        <x:v>0</x:v>
      </x:c>
      <x:c r="N32" s="37" t="n">
        <x:v>11000</x:v>
      </x:c>
      <x:c r="O32" s="38" t="n">
        <x:v>0</x:v>
      </x:c>
      <x:c r="P32" s="36" t="str">
        <x:v>estimada</x:v>
      </x:c>
      <x:c r="Q32" s="36" t="str">
        <x:v>fundo_longo_prazo_2026</x:v>
      </x:c>
      <x:c r="R32" s="37" t="n">
        <x:v>0</x:v>
      </x:c>
      <x:c r="S32" s="37" t="n">
        <x:v>11000</x:v>
      </x:c>
      <x:c r="T32" s="38" t="n">
        <x:v>0</x:v>
      </x:c>
      <x:c r="U32" s="36" t="str">
        <x:v>estimada</x:v>
      </x:c>
      <x:c r="V32" s="36" t="str">
        <x:v>fundo_longo_prazo_2026</x:v>
      </x:c>
      <x:c r="W32" s="37" t="n">
        <x:f>IF(OR(E32="NÃO RECALCULADO",E32="FORA_DO_ESCOPO"),"",R32-M32)</x:f>
        <x:v>0</x:v>
      </x:c>
      <x:c r="X32" s="37" t="n">
        <x:f>IF(OR(E32="NÃO RECALCULADO",E32="FORA_DO_ESCOPO"),"",S32-N32)</x:f>
        <x:v>0</x:v>
      </x:c>
      <x:c r="Y32" s="38" t="n">
        <x:f>IF(OR(E32="NÃO RECALCULADO",E32="FORA_DO_ESCOPO"),"",T32-O32)</x:f>
        <x:v>0</x:v>
      </x:c>
      <x:c r="Z32" s="36" t="str">
        <x:f>IF(E32="NÃO RECALCULADO","N/A",IF(E32="FORA_DO_ESCOPO",IF(AND(U32=P32,V32=Q32),"SIM","NÃO"),IF(AND(ABS(W32)&lt;=0.01,ABS(X32)&lt;=0.01,ABS(Y32)&lt;=0.000000001,U32=P32,V32=Q32),"SIM","NÃO")))</x:f>
        <x:v>SIM</x:v>
      </x:c>
      <x:c r="AA32" s="36" t="str">
        <x:v>A legislação de 2026 foi mantida como hipótese até o resgate.
Come-cotas foi aceito como total informado, sem reconstrução de cotas.</x:v>
      </x:c>
      <x:c r="AB32" s="36" t="str">
        <x:v>IOF calculado antes do IR quando o prazo é inferior a 30 dias.
Come-cotas informado reduz somente o IR adicional no resgate.</x:v>
      </x:c>
      <x:c r="AC32" s="36" t="str">
        <x:v>receita_tabelas_2026</x:v>
      </x:c>
      <x:c r="AD32" s="42" t="str">
        <x:v>https://www.gov.br/receitafederal/pt-br/assuntos/meu-imposto-de-renda/tabelas/2026</x:v>
      </x:c>
      <x:c r="AE32" s="36" t="str">
        <x:v>validacao/tributacao/validar_fundos_independente.py</x:v>
      </x:c>
      <x:c r="AF32" s="40" t="str"/>
      <x:c r="AG32" s="41"/>
      <x:c r="AH32" s="40" t="str"/>
    </x:row>
    <x:row r="33" ht="26.399999618530273" hidden="0" customHeight="1">
      <x:c r="A33" s="36" t="str">
        <x:v>fundo_acoes_15_porcento</x:v>
      </x:c>
      <x:c r="B33" s="36" t="str">
        <x:v>fundos</x:v>
      </x:c>
      <x:c r="C33" s="36" t="str">
        <x:v>conformidade_fonte_oficial</x:v>
      </x:c>
      <x:c r="D33" s="36" t="str">
        <x:v>fundo_acoes</x:v>
      </x:c>
      <x:c r="E33" s="46" t="str">
        <x:v>VALIDADO_PRIMEIRA_CAMADA</x:v>
      </x:c>
      <x:c r="F33" s="37" t="n">
        <x:v>10000</x:v>
      </x:c>
      <x:c r="G33" s="37" t="n">
        <x:v>11000</x:v>
      </x:c>
      <x:c r="H33" s="37" t="n">
        <x:f>MAX(0,G33-F33)</x:f>
        <x:v>1000</x:v>
      </x:c>
      <x:c r="I33" s="39" t="n">
        <x:v>46023</x:v>
      </x:c>
      <x:c r="J33" s="39" t="n">
        <x:v>46204</x:v>
      </x:c>
      <x:c r="K33" s="36" t="n">
        <x:f>J33-I33</x:f>
        <x:v>181</x:v>
      </x:c>
      <x:c r="L33" s="36" t="str"/>
      <x:c r="M33" s="37" t="n">
        <x:v>150</x:v>
      </x:c>
      <x:c r="N33" s="37" t="n">
        <x:v>10850</x:v>
      </x:c>
      <x:c r="O33" s="38" t="n">
        <x:v>0.15</x:v>
      </x:c>
      <x:c r="P33" s="36" t="str">
        <x:v>estimada</x:v>
      </x:c>
      <x:c r="Q33" s="36" t="str">
        <x:v>fundo_acoes_2026</x:v>
      </x:c>
      <x:c r="R33" s="37" t="n">
        <x:v>150</x:v>
      </x:c>
      <x:c r="S33" s="37" t="n">
        <x:v>10850</x:v>
      </x:c>
      <x:c r="T33" s="38" t="n">
        <x:v>0.15</x:v>
      </x:c>
      <x:c r="U33" s="36" t="str">
        <x:v>estimada</x:v>
      </x:c>
      <x:c r="V33" s="36" t="str">
        <x:v>fundo_acoes_2026</x:v>
      </x:c>
      <x:c r="W33" s="37" t="n">
        <x:f>IF(OR(E33="NÃO RECALCULADO",E33="FORA_DO_ESCOPO"),"",R33-M33)</x:f>
        <x:v>0</x:v>
      </x:c>
      <x:c r="X33" s="37" t="n">
        <x:f>IF(OR(E33="NÃO RECALCULADO",E33="FORA_DO_ESCOPO"),"",S33-N33)</x:f>
        <x:v>0</x:v>
      </x:c>
      <x:c r="Y33" s="38" t="n">
        <x:f>IF(OR(E33="NÃO RECALCULADO",E33="FORA_DO_ESCOPO"),"",T33-O33)</x:f>
        <x:v>0</x:v>
      </x:c>
      <x:c r="Z33" s="36" t="str">
        <x:f>IF(E33="NÃO RECALCULADO","N/A",IF(E33="FORA_DO_ESCOPO",IF(AND(U33=P33,V33=Q33),"SIM","NÃO"),IF(AND(ABS(W33)&lt;=0.01,ABS(X33)&lt;=0.01,ABS(Y33)&lt;=0.000000001,U33=P33,V33=Q33),"SIM","NÃO")))</x:f>
        <x:v>SIM</x:v>
      </x:c>
      <x:c r="AA33" s="36" t="str"/>
      <x:c r="AB33" s="36" t="str">
        <x:v>Alíquota de 15% para fundo de ações informado.</x:v>
      </x:c>
      <x:c r="AC33" s="36" t="str">
        <x:v>receita_fundos</x:v>
      </x:c>
      <x:c r="AD33" s="42" t="str">
        <x:v>https://www.gov.br/receitafederal/pt-br/assuntos/meu-imposto-de-renda/pagamento/renda-variavel/fundos-de-investimento-no-brasil</x:v>
      </x:c>
      <x:c r="AE33" s="36" t="str">
        <x:v>validacao/tributacao/validar_fundos_independente.py</x:v>
      </x:c>
      <x:c r="AF33" s="40" t="str"/>
      <x:c r="AG33" s="41"/>
      <x:c r="AH33" s="40" t="str"/>
    </x:row>
    <x:row r="34" ht="26.399999618530273" hidden="0" customHeight="1">
      <x:c r="A34" s="36" t="str">
        <x:v>fundo_etf_acoes_15_porcento</x:v>
      </x:c>
      <x:c r="B34" s="36" t="str">
        <x:v>fundos</x:v>
      </x:c>
      <x:c r="C34" s="36" t="str">
        <x:v>regressao_implementacao_pendente_revisao</x:v>
      </x:c>
      <x:c r="D34" s="36" t="str">
        <x:v>fundo_etf_acoes</x:v>
      </x:c>
      <x:c r="E34" s="47" t="str">
        <x:v>PENDENTE_PREMISSA</x:v>
      </x:c>
      <x:c r="F34" s="37" t="n">
        <x:v>10000</x:v>
      </x:c>
      <x:c r="G34" s="37" t="n">
        <x:v>11000</x:v>
      </x:c>
      <x:c r="H34" s="37" t="n">
        <x:f>MAX(0,G34-F34)</x:f>
        <x:v>1000</x:v>
      </x:c>
      <x:c r="I34" s="39" t="n">
        <x:v>46023</x:v>
      </x:c>
      <x:c r="J34" s="39" t="n">
        <x:v>46204</x:v>
      </x:c>
      <x:c r="K34" s="36" t="n">
        <x:f>J34-I34</x:f>
        <x:v>181</x:v>
      </x:c>
      <x:c r="L34" s="36" t="str"/>
      <x:c r="M34" s="37" t="n">
        <x:v>150</x:v>
      </x:c>
      <x:c r="N34" s="37" t="n">
        <x:v>10850</x:v>
      </x:c>
      <x:c r="O34" s="38" t="n">
        <x:v>0.15</x:v>
      </x:c>
      <x:c r="P34" s="36" t="str">
        <x:v>estimada</x:v>
      </x:c>
      <x:c r="Q34" s="36" t="str">
        <x:v>fundo_acoes_2026</x:v>
      </x:c>
      <x:c r="R34" s="37" t="n">
        <x:v>150</x:v>
      </x:c>
      <x:c r="S34" s="37" t="n">
        <x:v>10850</x:v>
      </x:c>
      <x:c r="T34" s="38" t="n">
        <x:v>0.15</x:v>
      </x:c>
      <x:c r="U34" s="36" t="str">
        <x:v>estimada</x:v>
      </x:c>
      <x:c r="V34" s="36" t="str">
        <x:v>fundo_acoes_2026</x:v>
      </x:c>
      <x:c r="W34" s="37" t="n">
        <x:f>IF(OR(E34="NÃO RECALCULADO",E34="FORA_DO_ESCOPO"),"",R34-M34)</x:f>
        <x:v>0</x:v>
      </x:c>
      <x:c r="X34" s="37" t="n">
        <x:f>IF(OR(E34="NÃO RECALCULADO",E34="FORA_DO_ESCOPO"),"",S34-N34)</x:f>
        <x:v>0</x:v>
      </x:c>
      <x:c r="Y34" s="38" t="n">
        <x:f>IF(OR(E34="NÃO RECALCULADO",E34="FORA_DO_ESCOPO"),"",T34-O34)</x:f>
        <x:v>0</x:v>
      </x:c>
      <x:c r="Z34" s="36" t="str">
        <x:f>IF(E34="NÃO RECALCULADO","N/A",IF(E34="FORA_DO_ESCOPO",IF(AND(U34=P34,V34=Q34),"SIM","NÃO"),IF(AND(ABS(W34)&lt;=0.01,ABS(X34)&lt;=0.01,ABS(Y34)&lt;=0.000000001,U34=P34,V34=Q34),"SIM","NÃO")))</x:f>
        <x:v>SIM</x:v>
      </x:c>
      <x:c r="AA34" s="36" t="str">
        <x:v>A classificação concreta do ETF como fundo de ações deve ser confirmada.</x:v>
      </x:c>
      <x:c r="AB34" s="36" t="str">
        <x:v>Alíquota de 15% para fundo de ações informado.</x:v>
      </x:c>
      <x:c r="AC34" s="36" t="str">
        <x:v>receita_fundos</x:v>
      </x:c>
      <x:c r="AD34" s="42" t="str">
        <x:v>https://www.gov.br/receitafederal/pt-br/assuntos/meu-imposto-de-renda/pagamento/renda-variavel/fundos-de-investimento-no-brasil</x:v>
      </x:c>
      <x:c r="AE34" s="36" t="str">
        <x:v>validacao/tributacao/validar_fundos_independente.py</x:v>
      </x:c>
      <x:c r="AF34" s="40" t="str"/>
      <x:c r="AG34" s="41"/>
      <x:c r="AH34" s="40" t="str"/>
    </x:row>
    <x:row r="35" ht="52.79999923706055" hidden="0" customHeight="1">
      <x:c r="A35" s="36" t="str">
        <x:v>pgbl_regressivo_ate_2_anos</x:v>
      </x:c>
      <x:c r="B35" s="36" t="str">
        <x:v>previdencia</x:v>
      </x:c>
      <x:c r="C35" s="36" t="str">
        <x:v>conformidade_fonte_oficial_com_premissa_lote_unico</x:v>
      </x:c>
      <x:c r="D35" s="36" t="str">
        <x:v>pgbl</x:v>
      </x:c>
      <x:c r="E35" s="47" t="str">
        <x:v>PENDENTE_PREMISSA</x:v>
      </x:c>
      <x:c r="F35" s="37" t="n">
        <x:v>10000</x:v>
      </x:c>
      <x:c r="G35" s="37" t="n">
        <x:v>11000</x:v>
      </x:c>
      <x:c r="H35" s="37" t="n">
        <x:f>MAX(0,G35-F35)</x:f>
        <x:v>1000</x:v>
      </x:c>
      <x:c r="I35" s="39" t="n">
        <x:v>46023</x:v>
      </x:c>
      <x:c r="J35" s="39" t="n">
        <x:v>46753</x:v>
      </x:c>
      <x:c r="K35" s="36" t="n">
        <x:f>J35-I35</x:f>
        <x:v>730</x:v>
      </x:c>
      <x:c r="L35" s="36" t="str">
        <x:v>{"regime":"regressivo"}</x:v>
      </x:c>
      <x:c r="M35" s="37" t="n">
        <x:v>3850</x:v>
      </x:c>
      <x:c r="N35" s="37" t="n">
        <x:v>7150</x:v>
      </x:c>
      <x:c r="O35" s="38" t="n">
        <x:v>0.35</x:v>
      </x:c>
      <x:c r="P35" s="36" t="str">
        <x:v>estimada</x:v>
      </x:c>
      <x:c r="Q35" s="36" t="str">
        <x:v>pgbl_regressivo_2026</x:v>
      </x:c>
      <x:c r="R35" s="37" t="n">
        <x:v>3849.9999999999995</x:v>
      </x:c>
      <x:c r="S35" s="37" t="n">
        <x:v>7150</x:v>
      </x:c>
      <x:c r="T35" s="38" t="n">
        <x:v>0.35</x:v>
      </x:c>
      <x:c r="U35" s="36" t="str">
        <x:v>estimada</x:v>
      </x:c>
      <x:c r="V35" s="36" t="str">
        <x:v>pgbl_regressivo_2026</x:v>
      </x:c>
      <x:c r="W35" s="37" t="n">
        <x:f>IF(OR(E35="NÃO RECALCULADO",E35="FORA_DO_ESCOPO"),"",R35-M35)</x:f>
        <x:v>-4.547473508864641e-13</x:v>
      </x:c>
      <x:c r="X35" s="37" t="n">
        <x:f>IF(OR(E35="NÃO RECALCULADO",E35="FORA_DO_ESCOPO"),"",S35-N35)</x:f>
        <x:v>0</x:v>
      </x:c>
      <x:c r="Y35" s="38" t="n">
        <x:f>IF(OR(E35="NÃO RECALCULADO",E35="FORA_DO_ESCOPO"),"",T35-O35)</x:f>
        <x:v>0</x:v>
      </x:c>
      <x:c r="Z35" s="36" t="str">
        <x:f>IF(E35="NÃO RECALCULADO","N/A",IF(E35="FORA_DO_ESCOPO",IF(AND(U35=P35,V35=Q35),"SIM","NÃO"),IF(AND(ABS(W35)&lt;=0.01,ABS(X35)&lt;=0.01,ABS(Y35)&lt;=0.000000001,U35=P35,V35=Q35),"SIM","NÃO")))</x:f>
        <x:v>SIM</x:v>
      </x:c>
      <x:c r="AA35" s="36" t="str">
        <x:v>A legislação de 2026 foi mantida como hipótese até o resgate.
Todo o saldo foi tratado como um lote com uma única idade.</x:v>
      </x:c>
      <x:c r="AB35" s="36" t="str">
        <x:v>PGBL sobre o saldo total; VGBL apenas sobre o rendimento.
Tabela regressiva aplicada pela idade do lote simplificado.</x:v>
      </x:c>
      <x:c r="AC35" s="36" t="str">
        <x:v>receita_pgbl_vgbl; previdencia_faq</x:v>
      </x:c>
      <x:c r="AD35" s="42" t="str">
        <x:v>https://www.gov.br/receitafederal/pt-br/acesso-a-informacao/perguntas-frequentes/imposto-de-renda/dirpf/declaracao/pgvl-vgbl
https://www.gov.br/previdencia/pt-br/assuntos/previdencia-complementar/mais-informacoes/perguntas-frequentes-de-previdencia-complementar</x:v>
      </x:c>
      <x:c r="AE35" s="36" t="str">
        <x:v>validacao/tributacao/validar_previdencia_independente.py</x:v>
      </x:c>
      <x:c r="AF35" s="40" t="str"/>
      <x:c r="AG35" s="41"/>
      <x:c r="AH35" s="40" t="str"/>
    </x:row>
    <x:row r="36" ht="52.79999923706055" hidden="0" customHeight="1">
      <x:c r="A36" s="36" t="str">
        <x:v>pgbl_regressivo_acima_2_anos</x:v>
      </x:c>
      <x:c r="B36" s="36" t="str">
        <x:v>previdencia</x:v>
      </x:c>
      <x:c r="C36" s="36" t="str">
        <x:v>conformidade_fonte_oficial_com_premissa_lote_unico</x:v>
      </x:c>
      <x:c r="D36" s="36" t="str">
        <x:v>pgbl</x:v>
      </x:c>
      <x:c r="E36" s="47" t="str">
        <x:v>PENDENTE_PREMISSA</x:v>
      </x:c>
      <x:c r="F36" s="37" t="n">
        <x:v>10000</x:v>
      </x:c>
      <x:c r="G36" s="37" t="n">
        <x:v>11000</x:v>
      </x:c>
      <x:c r="H36" s="37" t="n">
        <x:f>MAX(0,G36-F36)</x:f>
        <x:v>1000</x:v>
      </x:c>
      <x:c r="I36" s="39" t="n">
        <x:v>46023</x:v>
      </x:c>
      <x:c r="J36" s="39" t="n">
        <x:v>46754</x:v>
      </x:c>
      <x:c r="K36" s="36" t="n">
        <x:f>J36-I36</x:f>
        <x:v>731</x:v>
      </x:c>
      <x:c r="L36" s="36" t="str">
        <x:v>{"regime":"regressivo"}</x:v>
      </x:c>
      <x:c r="M36" s="37" t="n">
        <x:v>3300</x:v>
      </x:c>
      <x:c r="N36" s="37" t="n">
        <x:v>7700</x:v>
      </x:c>
      <x:c r="O36" s="38" t="n">
        <x:v>0.3</x:v>
      </x:c>
      <x:c r="P36" s="36" t="str">
        <x:v>estimada</x:v>
      </x:c>
      <x:c r="Q36" s="36" t="str">
        <x:v>pgbl_regressivo_2026</x:v>
      </x:c>
      <x:c r="R36" s="37" t="n">
        <x:v>3300</x:v>
      </x:c>
      <x:c r="S36" s="37" t="n">
        <x:v>7700</x:v>
      </x:c>
      <x:c r="T36" s="38" t="n">
        <x:v>0.3</x:v>
      </x:c>
      <x:c r="U36" s="36" t="str">
        <x:v>estimada</x:v>
      </x:c>
      <x:c r="V36" s="36" t="str">
        <x:v>pgbl_regressivo_2026</x:v>
      </x:c>
      <x:c r="W36" s="37" t="n">
        <x:f>IF(OR(E36="NÃO RECALCULADO",E36="FORA_DO_ESCOPO"),"",R36-M36)</x:f>
        <x:v>0</x:v>
      </x:c>
      <x:c r="X36" s="37" t="n">
        <x:f>IF(OR(E36="NÃO RECALCULADO",E36="FORA_DO_ESCOPO"),"",S36-N36)</x:f>
        <x:v>0</x:v>
      </x:c>
      <x:c r="Y36" s="38" t="n">
        <x:f>IF(OR(E36="NÃO RECALCULADO",E36="FORA_DO_ESCOPO"),"",T36-O36)</x:f>
        <x:v>0</x:v>
      </x:c>
      <x:c r="Z36" s="36" t="str">
        <x:f>IF(E36="NÃO RECALCULADO","N/A",IF(E36="FORA_DO_ESCOPO",IF(AND(U36=P36,V36=Q36),"SIM","NÃO"),IF(AND(ABS(W36)&lt;=0.01,ABS(X36)&lt;=0.01,ABS(Y36)&lt;=0.000000001,U36=P36,V36=Q36),"SIM","NÃO")))</x:f>
        <x:v>SIM</x:v>
      </x:c>
      <x:c r="AA36" s="36" t="str">
        <x:v>A legislação de 2026 foi mantida como hipótese até o resgate.
Todo o saldo foi tratado como um lote com uma única idade.</x:v>
      </x:c>
      <x:c r="AB36" s="36" t="str">
        <x:v>PGBL sobre o saldo total; VGBL apenas sobre o rendimento.
Tabela regressiva aplicada pela idade do lote simplificado.</x:v>
      </x:c>
      <x:c r="AC36" s="36" t="str">
        <x:v>receita_pgbl_vgbl; previdencia_faq</x:v>
      </x:c>
      <x:c r="AD36" s="42" t="str">
        <x:v>https://www.gov.br/receitafederal/pt-br/acesso-a-informacao/perguntas-frequentes/imposto-de-renda/dirpf/declaracao/pgvl-vgbl
https://www.gov.br/previdencia/pt-br/assuntos/previdencia-complementar/mais-informacoes/perguntas-frequentes-de-previdencia-complementar</x:v>
      </x:c>
      <x:c r="AE36" s="36" t="str">
        <x:v>validacao/tributacao/validar_previdencia_independente.py</x:v>
      </x:c>
      <x:c r="AF36" s="40" t="str"/>
      <x:c r="AG36" s="41"/>
      <x:c r="AH36" s="40" t="str"/>
    </x:row>
    <x:row r="37" ht="52.79999923706055" hidden="0" customHeight="1">
      <x:c r="A37" s="36" t="str">
        <x:v>pgbl_regressivo_acima_4_anos</x:v>
      </x:c>
      <x:c r="B37" s="36" t="str">
        <x:v>previdencia</x:v>
      </x:c>
      <x:c r="C37" s="36" t="str">
        <x:v>conformidade_fonte_oficial_com_premissa_lote_unico</x:v>
      </x:c>
      <x:c r="D37" s="36" t="str">
        <x:v>pgbl</x:v>
      </x:c>
      <x:c r="E37" s="47" t="str">
        <x:v>PENDENTE_PREMISSA</x:v>
      </x:c>
      <x:c r="F37" s="37" t="n">
        <x:v>10000</x:v>
      </x:c>
      <x:c r="G37" s="37" t="n">
        <x:v>11000</x:v>
      </x:c>
      <x:c r="H37" s="37" t="n">
        <x:f>MAX(0,G37-F37)</x:f>
        <x:v>1000</x:v>
      </x:c>
      <x:c r="I37" s="39" t="n">
        <x:v>46023</x:v>
      </x:c>
      <x:c r="J37" s="39" t="n">
        <x:v>47484</x:v>
      </x:c>
      <x:c r="K37" s="36" t="n">
        <x:f>J37-I37</x:f>
        <x:v>1461</x:v>
      </x:c>
      <x:c r="L37" s="36" t="str">
        <x:v>{"regime":"regressivo"}</x:v>
      </x:c>
      <x:c r="M37" s="37" t="n">
        <x:v>2750</x:v>
      </x:c>
      <x:c r="N37" s="37" t="n">
        <x:v>8250</x:v>
      </x:c>
      <x:c r="O37" s="38" t="n">
        <x:v>0.25</x:v>
      </x:c>
      <x:c r="P37" s="36" t="str">
        <x:v>estimada</x:v>
      </x:c>
      <x:c r="Q37" s="36" t="str">
        <x:v>pgbl_regressivo_2026</x:v>
      </x:c>
      <x:c r="R37" s="37" t="n">
        <x:v>2750</x:v>
      </x:c>
      <x:c r="S37" s="37" t="n">
        <x:v>8250</x:v>
      </x:c>
      <x:c r="T37" s="38" t="n">
        <x:v>0.25</x:v>
      </x:c>
      <x:c r="U37" s="36" t="str">
        <x:v>estimada</x:v>
      </x:c>
      <x:c r="V37" s="36" t="str">
        <x:v>pgbl_regressivo_2026</x:v>
      </x:c>
      <x:c r="W37" s="37" t="n">
        <x:f>IF(OR(E37="NÃO RECALCULADO",E37="FORA_DO_ESCOPO"),"",R37-M37)</x:f>
        <x:v>0</x:v>
      </x:c>
      <x:c r="X37" s="37" t="n">
        <x:f>IF(OR(E37="NÃO RECALCULADO",E37="FORA_DO_ESCOPO"),"",S37-N37)</x:f>
        <x:v>0</x:v>
      </x:c>
      <x:c r="Y37" s="38" t="n">
        <x:f>IF(OR(E37="NÃO RECALCULADO",E37="FORA_DO_ESCOPO"),"",T37-O37)</x:f>
        <x:v>0</x:v>
      </x:c>
      <x:c r="Z37" s="36" t="str">
        <x:f>IF(E37="NÃO RECALCULADO","N/A",IF(E37="FORA_DO_ESCOPO",IF(AND(U37=P37,V37=Q37),"SIM","NÃO"),IF(AND(ABS(W37)&lt;=0.01,ABS(X37)&lt;=0.01,ABS(Y37)&lt;=0.000000001,U37=P37,V37=Q37),"SIM","NÃO")))</x:f>
        <x:v>SIM</x:v>
      </x:c>
      <x:c r="AA37" s="36" t="str">
        <x:v>A legislação de 2026 foi mantida como hipótese até o resgate.
Todo o saldo foi tratado como um lote com uma única idade.</x:v>
      </x:c>
      <x:c r="AB37" s="36" t="str">
        <x:v>PGBL sobre o saldo total; VGBL apenas sobre o rendimento.
Tabela regressiva aplicada pela idade do lote simplificado.</x:v>
      </x:c>
      <x:c r="AC37" s="36" t="str">
        <x:v>receita_pgbl_vgbl; previdencia_faq</x:v>
      </x:c>
      <x:c r="AD37" s="42" t="str">
        <x:v>https://www.gov.br/receitafederal/pt-br/acesso-a-informacao/perguntas-frequentes/imposto-de-renda/dirpf/declaracao/pgvl-vgbl
https://www.gov.br/previdencia/pt-br/assuntos/previdencia-complementar/mais-informacoes/perguntas-frequentes-de-previdencia-complementar</x:v>
      </x:c>
      <x:c r="AE37" s="36" t="str">
        <x:v>validacao/tributacao/validar_previdencia_independente.py</x:v>
      </x:c>
      <x:c r="AF37" s="40" t="str"/>
      <x:c r="AG37" s="41"/>
      <x:c r="AH37" s="40" t="str"/>
    </x:row>
    <x:row r="38" ht="52.79999923706055" hidden="0" customHeight="1">
      <x:c r="A38" s="36" t="str">
        <x:v>pgbl_regressivo_acima_6_anos</x:v>
      </x:c>
      <x:c r="B38" s="36" t="str">
        <x:v>previdencia</x:v>
      </x:c>
      <x:c r="C38" s="36" t="str">
        <x:v>conformidade_fonte_oficial_com_premissa_lote_unico</x:v>
      </x:c>
      <x:c r="D38" s="36" t="str">
        <x:v>pgbl</x:v>
      </x:c>
      <x:c r="E38" s="47" t="str">
        <x:v>PENDENTE_PREMISSA</x:v>
      </x:c>
      <x:c r="F38" s="37" t="n">
        <x:v>10000</x:v>
      </x:c>
      <x:c r="G38" s="37" t="n">
        <x:v>11000</x:v>
      </x:c>
      <x:c r="H38" s="37" t="n">
        <x:f>MAX(0,G38-F38)</x:f>
        <x:v>1000</x:v>
      </x:c>
      <x:c r="I38" s="39" t="n">
        <x:v>46023</x:v>
      </x:c>
      <x:c r="J38" s="39" t="n">
        <x:v>48215</x:v>
      </x:c>
      <x:c r="K38" s="36" t="n">
        <x:f>J38-I38</x:f>
        <x:v>2192</x:v>
      </x:c>
      <x:c r="L38" s="36" t="str">
        <x:v>{"regime":"regressivo"}</x:v>
      </x:c>
      <x:c r="M38" s="37" t="n">
        <x:v>2200</x:v>
      </x:c>
      <x:c r="N38" s="37" t="n">
        <x:v>8800</x:v>
      </x:c>
      <x:c r="O38" s="38" t="n">
        <x:v>0.2</x:v>
      </x:c>
      <x:c r="P38" s="36" t="str">
        <x:v>estimada</x:v>
      </x:c>
      <x:c r="Q38" s="36" t="str">
        <x:v>pgbl_regressivo_2026</x:v>
      </x:c>
      <x:c r="R38" s="37" t="n">
        <x:v>2200</x:v>
      </x:c>
      <x:c r="S38" s="37" t="n">
        <x:v>8800</x:v>
      </x:c>
      <x:c r="T38" s="38" t="n">
        <x:v>0.2</x:v>
      </x:c>
      <x:c r="U38" s="36" t="str">
        <x:v>estimada</x:v>
      </x:c>
      <x:c r="V38" s="36" t="str">
        <x:v>pgbl_regressivo_2026</x:v>
      </x:c>
      <x:c r="W38" s="37" t="n">
        <x:f>IF(OR(E38="NÃO RECALCULADO",E38="FORA_DO_ESCOPO"),"",R38-M38)</x:f>
        <x:v>0</x:v>
      </x:c>
      <x:c r="X38" s="37" t="n">
        <x:f>IF(OR(E38="NÃO RECALCULADO",E38="FORA_DO_ESCOPO"),"",S38-N38)</x:f>
        <x:v>0</x:v>
      </x:c>
      <x:c r="Y38" s="38" t="n">
        <x:f>IF(OR(E38="NÃO RECALCULADO",E38="FORA_DO_ESCOPO"),"",T38-O38)</x:f>
        <x:v>0</x:v>
      </x:c>
      <x:c r="Z38" s="36" t="str">
        <x:f>IF(E38="NÃO RECALCULADO","N/A",IF(E38="FORA_DO_ESCOPO",IF(AND(U38=P38,V38=Q38),"SIM","NÃO"),IF(AND(ABS(W38)&lt;=0.01,ABS(X38)&lt;=0.01,ABS(Y38)&lt;=0.000000001,U38=P38,V38=Q38),"SIM","NÃO")))</x:f>
        <x:v>SIM</x:v>
      </x:c>
      <x:c r="AA38" s="36" t="str">
        <x:v>A legislação de 2026 foi mantida como hipótese até o resgate.
Todo o saldo foi tratado como um lote com uma única idade.</x:v>
      </x:c>
      <x:c r="AB38" s="36" t="str">
        <x:v>PGBL sobre o saldo total; VGBL apenas sobre o rendimento.
Tabela regressiva aplicada pela idade do lote simplificado.</x:v>
      </x:c>
      <x:c r="AC38" s="36" t="str">
        <x:v>receita_pgbl_vgbl; previdencia_faq</x:v>
      </x:c>
      <x:c r="AD38" s="42" t="str">
        <x:v>https://www.gov.br/receitafederal/pt-br/acesso-a-informacao/perguntas-frequentes/imposto-de-renda/dirpf/declaracao/pgvl-vgbl
https://www.gov.br/previdencia/pt-br/assuntos/previdencia-complementar/mais-informacoes/perguntas-frequentes-de-previdencia-complementar</x:v>
      </x:c>
      <x:c r="AE38" s="36" t="str">
        <x:v>validacao/tributacao/validar_previdencia_independente.py</x:v>
      </x:c>
      <x:c r="AF38" s="40" t="str"/>
      <x:c r="AG38" s="41"/>
      <x:c r="AH38" s="40" t="str"/>
    </x:row>
    <x:row r="39" ht="52.79999923706055" hidden="0" customHeight="1">
      <x:c r="A39" s="36" t="str">
        <x:v>pgbl_regressivo_acima_8_anos</x:v>
      </x:c>
      <x:c r="B39" s="36" t="str">
        <x:v>previdencia</x:v>
      </x:c>
      <x:c r="C39" s="36" t="str">
        <x:v>conformidade_fonte_oficial_com_premissa_lote_unico</x:v>
      </x:c>
      <x:c r="D39" s="36" t="str">
        <x:v>pgbl</x:v>
      </x:c>
      <x:c r="E39" s="47" t="str">
        <x:v>PENDENTE_PREMISSA</x:v>
      </x:c>
      <x:c r="F39" s="37" t="n">
        <x:v>10000</x:v>
      </x:c>
      <x:c r="G39" s="37" t="n">
        <x:v>11000</x:v>
      </x:c>
      <x:c r="H39" s="37" t="n">
        <x:f>MAX(0,G39-F39)</x:f>
        <x:v>1000</x:v>
      </x:c>
      <x:c r="I39" s="39" t="n">
        <x:v>46023</x:v>
      </x:c>
      <x:c r="J39" s="39" t="n">
        <x:v>48945</x:v>
      </x:c>
      <x:c r="K39" s="36" t="n">
        <x:f>J39-I39</x:f>
        <x:v>2922</x:v>
      </x:c>
      <x:c r="L39" s="36" t="str">
        <x:v>{"regime":"regressivo"}</x:v>
      </x:c>
      <x:c r="M39" s="37" t="n">
        <x:v>1650</x:v>
      </x:c>
      <x:c r="N39" s="37" t="n">
        <x:v>9350</x:v>
      </x:c>
      <x:c r="O39" s="38" t="n">
        <x:v>0.15</x:v>
      </x:c>
      <x:c r="P39" s="36" t="str">
        <x:v>estimada</x:v>
      </x:c>
      <x:c r="Q39" s="36" t="str">
        <x:v>pgbl_regressivo_2026</x:v>
      </x:c>
      <x:c r="R39" s="37" t="n">
        <x:v>1650</x:v>
      </x:c>
      <x:c r="S39" s="37" t="n">
        <x:v>9350</x:v>
      </x:c>
      <x:c r="T39" s="38" t="n">
        <x:v>0.15</x:v>
      </x:c>
      <x:c r="U39" s="36" t="str">
        <x:v>estimada</x:v>
      </x:c>
      <x:c r="V39" s="36" t="str">
        <x:v>pgbl_regressivo_2026</x:v>
      </x:c>
      <x:c r="W39" s="37" t="n">
        <x:f>IF(OR(E39="NÃO RECALCULADO",E39="FORA_DO_ESCOPO"),"",R39-M39)</x:f>
        <x:v>0</x:v>
      </x:c>
      <x:c r="X39" s="37" t="n">
        <x:f>IF(OR(E39="NÃO RECALCULADO",E39="FORA_DO_ESCOPO"),"",S39-N39)</x:f>
        <x:v>0</x:v>
      </x:c>
      <x:c r="Y39" s="38" t="n">
        <x:f>IF(OR(E39="NÃO RECALCULADO",E39="FORA_DO_ESCOPO"),"",T39-O39)</x:f>
        <x:v>0</x:v>
      </x:c>
      <x:c r="Z39" s="36" t="str">
        <x:f>IF(E39="NÃO RECALCULADO","N/A",IF(E39="FORA_DO_ESCOPO",IF(AND(U39=P39,V39=Q39),"SIM","NÃO"),IF(AND(ABS(W39)&lt;=0.01,ABS(X39)&lt;=0.01,ABS(Y39)&lt;=0.000000001,U39=P39,V39=Q39),"SIM","NÃO")))</x:f>
        <x:v>SIM</x:v>
      </x:c>
      <x:c r="AA39" s="36" t="str">
        <x:v>A legislação de 2026 foi mantida como hipótese até o resgate.
Todo o saldo foi tratado como um lote com uma única idade.</x:v>
      </x:c>
      <x:c r="AB39" s="36" t="str">
        <x:v>PGBL sobre o saldo total; VGBL apenas sobre o rendimento.
Tabela regressiva aplicada pela idade do lote simplificado.</x:v>
      </x:c>
      <x:c r="AC39" s="36" t="str">
        <x:v>receita_pgbl_vgbl; previdencia_faq</x:v>
      </x:c>
      <x:c r="AD39" s="42" t="str">
        <x:v>https://www.gov.br/receitafederal/pt-br/acesso-a-informacao/perguntas-frequentes/imposto-de-renda/dirpf/declaracao/pgvl-vgbl
https://www.gov.br/previdencia/pt-br/assuntos/previdencia-complementar/mais-informacoes/perguntas-frequentes-de-previdencia-complementar</x:v>
      </x:c>
      <x:c r="AE39" s="36" t="str">
        <x:v>validacao/tributacao/validar_previdencia_independente.py</x:v>
      </x:c>
      <x:c r="AF39" s="40" t="str"/>
      <x:c r="AG39" s="41"/>
      <x:c r="AH39" s="40" t="str"/>
    </x:row>
    <x:row r="40" ht="52.79999923706055" hidden="0" customHeight="1">
      <x:c r="A40" s="36" t="str">
        <x:v>pgbl_regressivo_acima_10_anos</x:v>
      </x:c>
      <x:c r="B40" s="36" t="str">
        <x:v>previdencia</x:v>
      </x:c>
      <x:c r="C40" s="36" t="str">
        <x:v>conformidade_fonte_oficial_com_premissa_lote_unico</x:v>
      </x:c>
      <x:c r="D40" s="36" t="str">
        <x:v>pgbl</x:v>
      </x:c>
      <x:c r="E40" s="47" t="str">
        <x:v>PENDENTE_PREMISSA</x:v>
      </x:c>
      <x:c r="F40" s="37" t="n">
        <x:v>10000</x:v>
      </x:c>
      <x:c r="G40" s="37" t="n">
        <x:v>11000</x:v>
      </x:c>
      <x:c r="H40" s="37" t="n">
        <x:f>MAX(0,G40-F40)</x:f>
        <x:v>1000</x:v>
      </x:c>
      <x:c r="I40" s="39" t="n">
        <x:v>46023</x:v>
      </x:c>
      <x:c r="J40" s="39" t="n">
        <x:v>49676</x:v>
      </x:c>
      <x:c r="K40" s="36" t="n">
        <x:f>J40-I40</x:f>
        <x:v>3653</x:v>
      </x:c>
      <x:c r="L40" s="36" t="str">
        <x:v>{"regime":"regressivo"}</x:v>
      </x:c>
      <x:c r="M40" s="37" t="n">
        <x:v>1100</x:v>
      </x:c>
      <x:c r="N40" s="37" t="n">
        <x:v>9900</x:v>
      </x:c>
      <x:c r="O40" s="38" t="n">
        <x:v>0.1</x:v>
      </x:c>
      <x:c r="P40" s="36" t="str">
        <x:v>estimada</x:v>
      </x:c>
      <x:c r="Q40" s="36" t="str">
        <x:v>pgbl_regressivo_2026</x:v>
      </x:c>
      <x:c r="R40" s="37" t="n">
        <x:v>1100</x:v>
      </x:c>
      <x:c r="S40" s="37" t="n">
        <x:v>9900</x:v>
      </x:c>
      <x:c r="T40" s="38" t="n">
        <x:v>0.1</x:v>
      </x:c>
      <x:c r="U40" s="36" t="str">
        <x:v>estimada</x:v>
      </x:c>
      <x:c r="V40" s="36" t="str">
        <x:v>pgbl_regressivo_2026</x:v>
      </x:c>
      <x:c r="W40" s="37" t="n">
        <x:f>IF(OR(E40="NÃO RECALCULADO",E40="FORA_DO_ESCOPO"),"",R40-M40)</x:f>
        <x:v>0</x:v>
      </x:c>
      <x:c r="X40" s="37" t="n">
        <x:f>IF(OR(E40="NÃO RECALCULADO",E40="FORA_DO_ESCOPO"),"",S40-N40)</x:f>
        <x:v>0</x:v>
      </x:c>
      <x:c r="Y40" s="38" t="n">
        <x:f>IF(OR(E40="NÃO RECALCULADO",E40="FORA_DO_ESCOPO"),"",T40-O40)</x:f>
        <x:v>0</x:v>
      </x:c>
      <x:c r="Z40" s="36" t="str">
        <x:f>IF(E40="NÃO RECALCULADO","N/A",IF(E40="FORA_DO_ESCOPO",IF(AND(U40=P40,V40=Q40),"SIM","NÃO"),IF(AND(ABS(W40)&lt;=0.01,ABS(X40)&lt;=0.01,ABS(Y40)&lt;=0.000000001,U40=P40,V40=Q40),"SIM","NÃO")))</x:f>
        <x:v>SIM</x:v>
      </x:c>
      <x:c r="AA40" s="36" t="str">
        <x:v>A legislação de 2026 foi mantida como hipótese até o resgate.
Todo o saldo foi tratado como um lote com uma única idade.</x:v>
      </x:c>
      <x:c r="AB40" s="36" t="str">
        <x:v>PGBL sobre o saldo total; VGBL apenas sobre o rendimento.
Tabela regressiva aplicada pela idade do lote simplificado.</x:v>
      </x:c>
      <x:c r="AC40" s="36" t="str">
        <x:v>receita_pgbl_vgbl; previdencia_faq</x:v>
      </x:c>
      <x:c r="AD40" s="42" t="str">
        <x:v>https://www.gov.br/receitafederal/pt-br/acesso-a-informacao/perguntas-frequentes/imposto-de-renda/dirpf/declaracao/pgvl-vgbl
https://www.gov.br/previdencia/pt-br/assuntos/previdencia-complementar/mais-informacoes/perguntas-frequentes-de-previdencia-complementar</x:v>
      </x:c>
      <x:c r="AE40" s="36" t="str">
        <x:v>validacao/tributacao/validar_previdencia_independente.py</x:v>
      </x:c>
      <x:c r="AF40" s="40" t="str"/>
      <x:c r="AG40" s="41"/>
      <x:c r="AH40" s="40" t="str"/>
    </x:row>
    <x:row r="41" ht="52.79999923706055" hidden="0" customHeight="1">
      <x:c r="A41" s="36" t="str">
        <x:v>vgbl_regressivo_tributa_so_ganho</x:v>
      </x:c>
      <x:c r="B41" s="36" t="str">
        <x:v>previdencia</x:v>
      </x:c>
      <x:c r="C41" s="36" t="str">
        <x:v>conformidade_fonte_oficial_com_premissa_lote_unico</x:v>
      </x:c>
      <x:c r="D41" s="36" t="str">
        <x:v>vgbl</x:v>
      </x:c>
      <x:c r="E41" s="47" t="str">
        <x:v>PENDENTE_PREMISSA</x:v>
      </x:c>
      <x:c r="F41" s="37" t="n">
        <x:v>10000</x:v>
      </x:c>
      <x:c r="G41" s="37" t="n">
        <x:v>11000</x:v>
      </x:c>
      <x:c r="H41" s="37" t="n">
        <x:f>MAX(0,G41-F41)</x:f>
        <x:v>1000</x:v>
      </x:c>
      <x:c r="I41" s="39" t="n">
        <x:v>46023</x:v>
      </x:c>
      <x:c r="J41" s="39" t="n">
        <x:v>46754</x:v>
      </x:c>
      <x:c r="K41" s="36" t="n">
        <x:f>J41-I41</x:f>
        <x:v>731</x:v>
      </x:c>
      <x:c r="L41" s="36" t="str">
        <x:v>{"regime":"regressivo"}</x:v>
      </x:c>
      <x:c r="M41" s="37" t="n">
        <x:v>300</x:v>
      </x:c>
      <x:c r="N41" s="37" t="n">
        <x:v>10700</x:v>
      </x:c>
      <x:c r="O41" s="38" t="n">
        <x:v>0.3</x:v>
      </x:c>
      <x:c r="P41" s="36" t="str">
        <x:v>estimada</x:v>
      </x:c>
      <x:c r="Q41" s="36" t="str">
        <x:v>vgbl_regressivo_2026</x:v>
      </x:c>
      <x:c r="R41" s="37" t="n">
        <x:v>300</x:v>
      </x:c>
      <x:c r="S41" s="37" t="n">
        <x:v>10700</x:v>
      </x:c>
      <x:c r="T41" s="38" t="n">
        <x:v>0.3</x:v>
      </x:c>
      <x:c r="U41" s="36" t="str">
        <x:v>estimada</x:v>
      </x:c>
      <x:c r="V41" s="36" t="str">
        <x:v>vgbl_regressivo_2026</x:v>
      </x:c>
      <x:c r="W41" s="37" t="n">
        <x:f>IF(OR(E41="NÃO RECALCULADO",E41="FORA_DO_ESCOPO"),"",R41-M41)</x:f>
        <x:v>0</x:v>
      </x:c>
      <x:c r="X41" s="37" t="n">
        <x:f>IF(OR(E41="NÃO RECALCULADO",E41="FORA_DO_ESCOPO"),"",S41-N41)</x:f>
        <x:v>0</x:v>
      </x:c>
      <x:c r="Y41" s="38" t="n">
        <x:f>IF(OR(E41="NÃO RECALCULADO",E41="FORA_DO_ESCOPO"),"",T41-O41)</x:f>
        <x:v>0</x:v>
      </x:c>
      <x:c r="Z41" s="36" t="str">
        <x:f>IF(E41="NÃO RECALCULADO","N/A",IF(E41="FORA_DO_ESCOPO",IF(AND(U41=P41,V41=Q41),"SIM","NÃO"),IF(AND(ABS(W41)&lt;=0.01,ABS(X41)&lt;=0.01,ABS(Y41)&lt;=0.000000001,U41=P41,V41=Q41),"SIM","NÃO")))</x:f>
        <x:v>SIM</x:v>
      </x:c>
      <x:c r="AA41" s="36" t="str">
        <x:v>A legislação de 2026 foi mantida como hipótese até o resgate.
Todo o saldo foi tratado como um lote com uma única idade.</x:v>
      </x:c>
      <x:c r="AB41" s="36" t="str">
        <x:v>PGBL sobre o saldo total; VGBL apenas sobre o rendimento.
Tabela regressiva aplicada pela idade do lote simplificado.</x:v>
      </x:c>
      <x:c r="AC41" s="36" t="str">
        <x:v>receita_pgbl_vgbl; previdencia_faq</x:v>
      </x:c>
      <x:c r="AD41" s="42" t="str">
        <x:v>https://www.gov.br/receitafederal/pt-br/acesso-a-informacao/perguntas-frequentes/imposto-de-renda/dirpf/declaracao/pgvl-vgbl
https://www.gov.br/previdencia/pt-br/assuntos/previdencia-complementar/mais-informacoes/perguntas-frequentes-de-previdencia-complementar</x:v>
      </x:c>
      <x:c r="AE41" s="36" t="str">
        <x:v>validacao/tributacao/validar_previdencia_independente.py</x:v>
      </x:c>
      <x:c r="AF41" s="40" t="str"/>
      <x:c r="AG41" s="41"/>
      <x:c r="AH41" s="40" t="str"/>
    </x:row>
    <x:row r="42" ht="39.599998474121094" hidden="0" customHeight="1">
      <x:c r="A42" s="36" t="str">
        <x:v>pgbl_progressivo_renda_30000</x:v>
      </x:c>
      <x:c r="B42" s="36" t="str">
        <x:v>previdencia</x:v>
      </x:c>
      <x:c r="C42" s="36" t="str">
        <x:v>conformidade_tabela_e_reducao_anual_2026</x:v>
      </x:c>
      <x:c r="D42" s="36" t="str">
        <x:v>pgbl</x:v>
      </x:c>
      <x:c r="E42" s="47" t="str">
        <x:v>PENDENTE_PREMISSA</x:v>
      </x:c>
      <x:c r="F42" s="37" t="n">
        <x:v>10000</x:v>
      </x:c>
      <x:c r="G42" s="37" t="n">
        <x:v>11000</x:v>
      </x:c>
      <x:c r="H42" s="37" t="n">
        <x:f>MAX(0,G42-F42)</x:f>
        <x:v>1000</x:v>
      </x:c>
      <x:c r="I42" s="39" t="n">
        <x:v>46023</x:v>
      </x:c>
      <x:c r="J42" s="39" t="n">
        <x:v>46754</x:v>
      </x:c>
      <x:c r="K42" s="36" t="n">
        <x:f>J42-I42</x:f>
        <x:v>731</x:v>
      </x:c>
      <x:c r="L42" s="36" t="str">
        <x:v>{"regime":"progressivo","renda_tributavel":30000}</x:v>
      </x:c>
      <x:c r="M42" s="37" t="n">
        <x:v>0</x:v>
      </x:c>
      <x:c r="N42" s="37" t="n">
        <x:v>11000</x:v>
      </x:c>
      <x:c r="O42" s="38" t="n">
        <x:v>0</x:v>
      </x:c>
      <x:c r="P42" s="36" t="str">
        <x:v>estimada</x:v>
      </x:c>
      <x:c r="Q42" s="36" t="str">
        <x:v>pgbl_progressivo_2026</x:v>
      </x:c>
      <x:c r="R42" s="37" t="n">
        <x:v>0</x:v>
      </x:c>
      <x:c r="S42" s="37" t="n">
        <x:v>11000</x:v>
      </x:c>
      <x:c r="T42" s="38" t="n">
        <x:v>0</x:v>
      </x:c>
      <x:c r="U42" s="36" t="str">
        <x:v>estimada</x:v>
      </x:c>
      <x:c r="V42" s="36" t="str">
        <x:v>pgbl_progressivo_2026</x:v>
      </x:c>
      <x:c r="W42" s="37" t="n">
        <x:f>IF(OR(E42="NÃO RECALCULADO",E42="FORA_DO_ESCOPO"),"",R42-M42)</x:f>
        <x:v>0</x:v>
      </x:c>
      <x:c r="X42" s="37" t="n">
        <x:f>IF(OR(E42="NÃO RECALCULADO",E42="FORA_DO_ESCOPO"),"",S42-N42)</x:f>
        <x:v>0</x:v>
      </x:c>
      <x:c r="Y42" s="38" t="n">
        <x:f>IF(OR(E42="NÃO RECALCULADO",E42="FORA_DO_ESCOPO"),"",T42-O42)</x:f>
        <x:v>0</x:v>
      </x:c>
      <x:c r="Z42" s="36" t="str">
        <x:f>IF(E42="NÃO RECALCULADO","N/A",IF(E42="FORA_DO_ESCOPO",IF(AND(U42=P42,V42=Q42),"SIM","NÃO"),IF(AND(ABS(W42)&lt;=0.01,ABS(X42)&lt;=0.01,ABS(Y42)&lt;=0.000000001,U42=P42,V42=Q42),"SIM","NÃO")))</x:f>
        <x:v>SIM</x:v>
      </x:c>
      <x:c r="AA42" s="36" t="str">
        <x:v>A legislação de 2026 foi mantida como hipótese até o resgate.
A renda tributável foi usada como aproximação da base anual.</x:v>
      </x:c>
      <x:c r="AB42" s="36" t="str">
        <x:v>Tabela anual e redução anual de 2026 recalculadas separadamente.
Imposto incremental calculado com e sem o resgate.</x:v>
      </x:c>
      <x:c r="AC42" s="36" t="str">
        <x:v>receita_tabelas_2026</x:v>
      </x:c>
      <x:c r="AD42" s="42" t="str">
        <x:v>https://www.gov.br/receitafederal/pt-br/assuntos/meu-imposto-de-renda/tabelas/2026</x:v>
      </x:c>
      <x:c r="AE42" s="36" t="str">
        <x:v>validacao/tributacao/validar_previdencia_independente.py</x:v>
      </x:c>
      <x:c r="AF42" s="40" t="str"/>
      <x:c r="AG42" s="41"/>
      <x:c r="AH42" s="40" t="str"/>
    </x:row>
    <x:row r="43" ht="39.599998474121094" hidden="0" customHeight="1">
      <x:c r="A43" s="36" t="str">
        <x:v>vgbl_progressivo_renda_30000</x:v>
      </x:c>
      <x:c r="B43" s="36" t="str">
        <x:v>previdencia</x:v>
      </x:c>
      <x:c r="C43" s="36" t="str">
        <x:v>conformidade_tabela_e_reducao_anual_2026</x:v>
      </x:c>
      <x:c r="D43" s="36" t="str">
        <x:v>vgbl</x:v>
      </x:c>
      <x:c r="E43" s="47" t="str">
        <x:v>PENDENTE_PREMISSA</x:v>
      </x:c>
      <x:c r="F43" s="37" t="n">
        <x:v>10000</x:v>
      </x:c>
      <x:c r="G43" s="37" t="n">
        <x:v>11000</x:v>
      </x:c>
      <x:c r="H43" s="37" t="n">
        <x:f>MAX(0,G43-F43)</x:f>
        <x:v>1000</x:v>
      </x:c>
      <x:c r="I43" s="39" t="n">
        <x:v>46023</x:v>
      </x:c>
      <x:c r="J43" s="39" t="n">
        <x:v>46754</x:v>
      </x:c>
      <x:c r="K43" s="36" t="n">
        <x:f>J43-I43</x:f>
        <x:v>731</x:v>
      </x:c>
      <x:c r="L43" s="36" t="str">
        <x:v>{"regime":"progressivo","renda_tributavel":30000}</x:v>
      </x:c>
      <x:c r="M43" s="37" t="n">
        <x:v>0</x:v>
      </x:c>
      <x:c r="N43" s="37" t="n">
        <x:v>11000</x:v>
      </x:c>
      <x:c r="O43" s="38" t="n">
        <x:v>0</x:v>
      </x:c>
      <x:c r="P43" s="36" t="str">
        <x:v>estimada</x:v>
      </x:c>
      <x:c r="Q43" s="36" t="str">
        <x:v>vgbl_progressivo_2026</x:v>
      </x:c>
      <x:c r="R43" s="37" t="n">
        <x:v>0</x:v>
      </x:c>
      <x:c r="S43" s="37" t="n">
        <x:v>11000</x:v>
      </x:c>
      <x:c r="T43" s="38" t="n">
        <x:v>0</x:v>
      </x:c>
      <x:c r="U43" s="36" t="str">
        <x:v>estimada</x:v>
      </x:c>
      <x:c r="V43" s="36" t="str">
        <x:v>vgbl_progressivo_2026</x:v>
      </x:c>
      <x:c r="W43" s="37" t="n">
        <x:f>IF(OR(E43="NÃO RECALCULADO",E43="FORA_DO_ESCOPO"),"",R43-M43)</x:f>
        <x:v>0</x:v>
      </x:c>
      <x:c r="X43" s="37" t="n">
        <x:f>IF(OR(E43="NÃO RECALCULADO",E43="FORA_DO_ESCOPO"),"",S43-N43)</x:f>
        <x:v>0</x:v>
      </x:c>
      <x:c r="Y43" s="38" t="n">
        <x:f>IF(OR(E43="NÃO RECALCULADO",E43="FORA_DO_ESCOPO"),"",T43-O43)</x:f>
        <x:v>0</x:v>
      </x:c>
      <x:c r="Z43" s="36" t="str">
        <x:f>IF(E43="NÃO RECALCULADO","N/A",IF(E43="FORA_DO_ESCOPO",IF(AND(U43=P43,V43=Q43),"SIM","NÃO"),IF(AND(ABS(W43)&lt;=0.01,ABS(X43)&lt;=0.01,ABS(Y43)&lt;=0.000000001,U43=P43,V43=Q43),"SIM","NÃO")))</x:f>
        <x:v>SIM</x:v>
      </x:c>
      <x:c r="AA43" s="36" t="str">
        <x:v>A legislação de 2026 foi mantida como hipótese até o resgate.
A renda tributável foi usada como aproximação da base anual.</x:v>
      </x:c>
      <x:c r="AB43" s="36" t="str">
        <x:v>Tabela anual e redução anual de 2026 recalculadas separadamente.
Imposto incremental calculado com e sem o resgate.</x:v>
      </x:c>
      <x:c r="AC43" s="36" t="str">
        <x:v>receita_tabelas_2026</x:v>
      </x:c>
      <x:c r="AD43" s="42" t="str">
        <x:v>https://www.gov.br/receitafederal/pt-br/assuntos/meu-imposto-de-renda/tabelas/2026</x:v>
      </x:c>
      <x:c r="AE43" s="36" t="str">
        <x:v>validacao/tributacao/validar_previdencia_independente.py</x:v>
      </x:c>
      <x:c r="AF43" s="40" t="str"/>
      <x:c r="AG43" s="41"/>
      <x:c r="AH43" s="40" t="str"/>
    </x:row>
    <x:row r="44" ht="26.399999618530273" hidden="0" customHeight="1">
      <x:c r="A44" s="36" t="str">
        <x:v>pgbl_progressivo_sem_renda</x:v>
      </x:c>
      <x:c r="B44" s="36" t="str">
        <x:v>previdencia</x:v>
      </x:c>
      <x:c r="C44" s="36" t="str">
        <x:v>validacao_de_indeterminacao</x:v>
      </x:c>
      <x:c r="D44" s="36" t="str">
        <x:v>pgbl</x:v>
      </x:c>
      <x:c r="E44" s="49" t="str">
        <x:v>PENDENTE_PREMISSA</x:v>
      </x:c>
      <x:c r="F44" s="37" t="n">
        <x:v>10000</x:v>
      </x:c>
      <x:c r="G44" s="37" t="n">
        <x:v>11000</x:v>
      </x:c>
      <x:c r="H44" s="37" t="n">
        <x:f>MAX(0,G44-F44)</x:f>
        <x:v>1000</x:v>
      </x:c>
      <x:c r="I44" s="39" t="n">
        <x:v>46023</x:v>
      </x:c>
      <x:c r="J44" s="39" t="n">
        <x:v>46754</x:v>
      </x:c>
      <x:c r="K44" s="36" t="n">
        <x:f>J44-I44</x:f>
        <x:v>731</x:v>
      </x:c>
      <x:c r="L44" s="36" t="str">
        <x:v>{"regime":"progressivo"}</x:v>
      </x:c>
      <x:c r="M44" s="37"/>
      <x:c r="N44" s="37"/>
      <x:c r="O44" s="38"/>
      <x:c r="P44" s="36" t="str">
        <x:v>indeterminada</x:v>
      </x:c>
      <x:c r="Q44" s="36" t="str">
        <x:v>pgbl_progressivo_sem_renda</x:v>
      </x:c>
      <x:c r="R44" s="37"/>
      <x:c r="S44" s="37"/>
      <x:c r="T44" s="38"/>
      <x:c r="U44" s="36" t="str">
        <x:v>indeterminada</x:v>
      </x:c>
      <x:c r="V44" s="36" t="str">
        <x:v>pgbl_progressivo_sem_renda</x:v>
      </x:c>
      <x:c r="W44" s="37" t="n">
        <x:f>IF(OR(E44="NÃO RECALCULADO",E44="FORA_DO_ESCOPO"),"",R44-M44)</x:f>
        <x:v>0</x:v>
      </x:c>
      <x:c r="X44" s="37" t="n">
        <x:f>IF(OR(E44="NÃO RECALCULADO",E44="FORA_DO_ESCOPO"),"",S44-N44)</x:f>
        <x:v>0</x:v>
      </x:c>
      <x:c r="Y44" s="38" t="n">
        <x:f>IF(OR(E44="NÃO RECALCULADO",E44="FORA_DO_ESCOPO"),"",T44-O44)</x:f>
        <x:v>0</x:v>
      </x:c>
      <x:c r="Z44" s="36" t="str">
        <x:f>IF(E44="NÃO RECALCULADO","N/A",IF(E44="FORA_DO_ESCOPO",IF(AND(U44=P44,V44=Q44),"SIM","NÃO"),IF(AND(ABS(W44)&lt;=0.01,ABS(X44)&lt;=0.01,ABS(Y44)&lt;=0.000000001,U44=P44,V44=Q44),"SIM","NÃO")))</x:f>
        <x:v>SIM</x:v>
      </x:c>
      <x:c r="AA44" s="36" t="str">
        <x:v>A renda tributável anual não foi informada.</x:v>
      </x:c>
      <x:c r="AB44" s="36" t="str"/>
      <x:c r="AC44" s="36" t="str">
        <x:v>receita_tabelas_2026</x:v>
      </x:c>
      <x:c r="AD44" s="42" t="str">
        <x:v>https://www.gov.br/receitafederal/pt-br/assuntos/meu-imposto-de-renda/tabelas/2026</x:v>
      </x:c>
      <x:c r="AE44" s="36" t="str">
        <x:v>validacao/tributacao/validar_previdencia_independente.py</x:v>
      </x:c>
      <x:c r="AF44" s="40" t="str"/>
      <x:c r="AG44" s="41"/>
      <x:c r="AH44" s="40" t="str"/>
    </x:row>
    <x:row r="45" ht="26.399999618530273" hidden="0" customHeight="1">
      <x:c r="A45" s="36" t="str">
        <x:v>pgbl_regime_ausente</x:v>
      </x:c>
      <x:c r="B45" s="36" t="str">
        <x:v>previdencia</x:v>
      </x:c>
      <x:c r="C45" s="36" t="str">
        <x:v>validacao_de_indeterminacao</x:v>
      </x:c>
      <x:c r="D45" s="36" t="str">
        <x:v>pgbl</x:v>
      </x:c>
      <x:c r="E45" s="49" t="str">
        <x:v>PENDENTE_PREMISSA</x:v>
      </x:c>
      <x:c r="F45" s="37" t="n">
        <x:v>10000</x:v>
      </x:c>
      <x:c r="G45" s="37" t="n">
        <x:v>11000</x:v>
      </x:c>
      <x:c r="H45" s="37" t="n">
        <x:f>MAX(0,G45-F45)</x:f>
        <x:v>1000</x:v>
      </x:c>
      <x:c r="I45" s="39" t="n">
        <x:v>46023</x:v>
      </x:c>
      <x:c r="J45" s="39" t="n">
        <x:v>46754</x:v>
      </x:c>
      <x:c r="K45" s="36" t="n">
        <x:f>J45-I45</x:f>
        <x:v>731</x:v>
      </x:c>
      <x:c r="L45" s="36" t="str"/>
      <x:c r="M45" s="37"/>
      <x:c r="N45" s="37"/>
      <x:c r="O45" s="38"/>
      <x:c r="P45" s="36" t="str">
        <x:v>indeterminada</x:v>
      </x:c>
      <x:c r="Q45" s="36" t="str">
        <x:v>previdencia_regime_indeterminado</x:v>
      </x:c>
      <x:c r="R45" s="37"/>
      <x:c r="S45" s="37"/>
      <x:c r="T45" s="38"/>
      <x:c r="U45" s="36" t="str">
        <x:v>indeterminada</x:v>
      </x:c>
      <x:c r="V45" s="36" t="str">
        <x:v>previdencia_regime_indeterminado</x:v>
      </x:c>
      <x:c r="W45" s="37" t="n">
        <x:f>IF(OR(E45="NÃO RECALCULADO",E45="FORA_DO_ESCOPO"),"",R45-M45)</x:f>
        <x:v>0</x:v>
      </x:c>
      <x:c r="X45" s="37" t="n">
        <x:f>IF(OR(E45="NÃO RECALCULADO",E45="FORA_DO_ESCOPO"),"",S45-N45)</x:f>
        <x:v>0</x:v>
      </x:c>
      <x:c r="Y45" s="38" t="n">
        <x:f>IF(OR(E45="NÃO RECALCULADO",E45="FORA_DO_ESCOPO"),"",T45-O45)</x:f>
        <x:v>0</x:v>
      </x:c>
      <x:c r="Z45" s="36" t="str">
        <x:f>IF(E45="NÃO RECALCULADO","N/A",IF(E45="FORA_DO_ESCOPO",IF(AND(U45=P45,V45=Q45),"SIM","NÃO"),IF(AND(ABS(W45)&lt;=0.01,ABS(X45)&lt;=0.01,ABS(Y45)&lt;=0.000000001,U45=P45,V45=Q45),"SIM","NÃO")))</x:f>
        <x:v>SIM</x:v>
      </x:c>
      <x:c r="AA45" s="36" t="str">
        <x:v>O regime progressivo ou regressivo não foi informado.</x:v>
      </x:c>
      <x:c r="AB45" s="36" t="str"/>
      <x:c r="AC45" s="36" t="str">
        <x:v>previdencia_faq</x:v>
      </x:c>
      <x:c r="AD45" s="42" t="str">
        <x:v>https://www.gov.br/previdencia/pt-br/assuntos/previdencia-complementar/mais-informacoes/perguntas-frequentes-de-previdencia-complementar</x:v>
      </x:c>
      <x:c r="AE45" s="36" t="str">
        <x:v>validacao/tributacao/validar_previdencia_independente.py</x:v>
      </x:c>
      <x:c r="AF45" s="40" t="str"/>
      <x:c r="AG45" s="41"/>
      <x:c r="AH45" s="40" t="str"/>
    </x:row>
    <x:row r="46" ht="26.399999618530273" hidden="0" customHeight="1">
      <x:c r="A46" s="36" t="str">
        <x:v>acao_comum_vendas_20000_isenta</x:v>
      </x:c>
      <x:c r="B46" s="36" t="str">
        <x:v>renda_variavel</x:v>
      </x:c>
      <x:c r="C46" s="36" t="str">
        <x:v>conformidade_fonte_oficial</x:v>
      </x:c>
      <x:c r="D46" s="36" t="str">
        <x:v>acao</x:v>
      </x:c>
      <x:c r="E46" s="47" t="str">
        <x:v>PENDENTE_PREMISSA</x:v>
      </x:c>
      <x:c r="F46" s="37" t="n">
        <x:v>10000</x:v>
      </x:c>
      <x:c r="G46" s="37" t="n">
        <x:v>11000</x:v>
      </x:c>
      <x:c r="H46" s="37" t="n">
        <x:f>MAX(0,G46-F46)</x:f>
        <x:v>1000</x:v>
      </x:c>
      <x:c r="I46" s="39" t="n">
        <x:v>46023</x:v>
      </x:c>
      <x:c r="J46" s="39" t="n">
        <x:v>46204</x:v>
      </x:c>
      <x:c r="K46" s="36" t="n">
        <x:f>J46-I46</x:f>
        <x:v>181</x:v>
      </x:c>
      <x:c r="L46" s="36" t="str">
        <x:v>{"valor_vendas_mes":20000,"day_trade":false,"pessoa_fisica":true}</x:v>
      </x:c>
      <x:c r="M46" s="37" t="n">
        <x:v>0</x:v>
      </x:c>
      <x:c r="N46" s="37" t="n">
        <x:v>11000</x:v>
      </x:c>
      <x:c r="O46" s="38" t="n">
        <x:v>0</x:v>
      </x:c>
      <x:c r="P46" s="36" t="str">
        <x:v>estimada</x:v>
      </x:c>
      <x:c r="Q46" s="36" t="str">
        <x:v>acoes_isencao_mensal_2026</x:v>
      </x:c>
      <x:c r="R46" s="37" t="n">
        <x:v>0</x:v>
      </x:c>
      <x:c r="S46" s="37" t="n">
        <x:v>11000</x:v>
      </x:c>
      <x:c r="T46" s="38" t="n">
        <x:v>0</x:v>
      </x:c>
      <x:c r="U46" s="36" t="str">
        <x:v>estimada</x:v>
      </x:c>
      <x:c r="V46" s="36" t="str">
        <x:v>acoes_isencao_mensal_2026</x:v>
      </x:c>
      <x:c r="W46" s="37" t="n">
        <x:f>IF(OR(E46="NÃO RECALCULADO",E46="FORA_DO_ESCOPO"),"",R46-M46)</x:f>
        <x:v>0</x:v>
      </x:c>
      <x:c r="X46" s="37" t="n">
        <x:f>IF(OR(E46="NÃO RECALCULADO",E46="FORA_DO_ESCOPO"),"",S46-N46)</x:f>
        <x:v>0</x:v>
      </x:c>
      <x:c r="Y46" s="38" t="n">
        <x:f>IF(OR(E46="NÃO RECALCULADO",E46="FORA_DO_ESCOPO"),"",T46-O46)</x:f>
        <x:v>0</x:v>
      </x:c>
      <x:c r="Z46" s="36" t="str">
        <x:f>IF(E46="NÃO RECALCULADO","N/A",IF(E46="FORA_DO_ESCOPO",IF(AND(U46=P46,V46=Q46),"SIM","NÃO"),IF(AND(ABS(W46)&lt;=0.01,ABS(X46)&lt;=0.01,ABS(Y46)&lt;=0.000000001,U46=P46,V46=Q46),"SIM","NÃO")))</x:f>
        <x:v>SIM</x:v>
      </x:c>
      <x:c r="AA46" s="36" t="str">
        <x:v>O total mensal de vendas foi aceito como informado pelo usuário.</x:v>
      </x:c>
      <x:c r="AB46" s="36" t="str">
        <x:v>Isenção aplicada apenas a operações comuns com ações elegíveis.</x:v>
      </x:c>
      <x:c r="AC46" s="36" t="str">
        <x:v>receita_isencoes</x:v>
      </x:c>
      <x:c r="AD46" s="42" t="str">
        <x:v>https://www.gov.br/receitafederal/pt-br/assuntos/meu-imposto-de-renda/pagamento/renda-variavel/bolsa-de-valores-1/isencoes</x:v>
      </x:c>
      <x:c r="AE46" s="36" t="str">
        <x:v>validacao/tributacao/validar_renda_variavel_independente.py</x:v>
      </x:c>
      <x:c r="AF46" s="40" t="str"/>
      <x:c r="AG46" s="41"/>
      <x:c r="AH46" s="40" t="str"/>
    </x:row>
    <x:row r="47" ht="52.79999923706055" hidden="0" customHeight="1">
      <x:c r="A47" s="36" t="str">
        <x:v>acao_comum_vendas_acima_20000</x:v>
      </x:c>
      <x:c r="B47" s="36" t="str">
        <x:v>renda_variavel</x:v>
      </x:c>
      <x:c r="C47" s="36" t="str">
        <x:v>conformidade_fonte_oficial</x:v>
      </x:c>
      <x:c r="D47" s="36" t="str">
        <x:v>acao</x:v>
      </x:c>
      <x:c r="E47" s="47" t="str">
        <x:v>PENDENTE_PREMISSA</x:v>
      </x:c>
      <x:c r="F47" s="37" t="n">
        <x:v>10000</x:v>
      </x:c>
      <x:c r="G47" s="37" t="n">
        <x:v>11000</x:v>
      </x:c>
      <x:c r="H47" s="37" t="n">
        <x:f>MAX(0,G47-F47)</x:f>
        <x:v>1000</x:v>
      </x:c>
      <x:c r="I47" s="39" t="n">
        <x:v>46023</x:v>
      </x:c>
      <x:c r="J47" s="39" t="n">
        <x:v>46204</x:v>
      </x:c>
      <x:c r="K47" s="36" t="n">
        <x:f>J47-I47</x:f>
        <x:v>181</x:v>
      </x:c>
      <x:c r="L47" s="36" t="str">
        <x:v>{"valor_vendas_mes":20000.01,"day_trade":false}</x:v>
      </x:c>
      <x:c r="M47" s="37" t="n">
        <x:v>150</x:v>
      </x:c>
      <x:c r="N47" s="37" t="n">
        <x:v>10850</x:v>
      </x:c>
      <x:c r="O47" s="38" t="n">
        <x:v>0.15</x:v>
      </x:c>
      <x:c r="P47" s="36" t="str">
        <x:v>estimada</x:v>
      </x:c>
      <x:c r="Q47" s="36" t="str">
        <x:v>acao_comum_2026</x:v>
      </x:c>
      <x:c r="R47" s="37" t="n">
        <x:v>150</x:v>
      </x:c>
      <x:c r="S47" s="37" t="n">
        <x:v>10850</x:v>
      </x:c>
      <x:c r="T47" s="38" t="n">
        <x:v>0.15</x:v>
      </x:c>
      <x:c r="U47" s="36" t="str">
        <x:v>estimada</x:v>
      </x:c>
      <x:c r="V47" s="36" t="str">
        <x:v>acao_comum_2026</x:v>
      </x:c>
      <x:c r="W47" s="37" t="n">
        <x:f>IF(OR(E47="NÃO RECALCULADO",E47="FORA_DO_ESCOPO"),"",R47-M47)</x:f>
        <x:v>0</x:v>
      </x:c>
      <x:c r="X47" s="37" t="n">
        <x:f>IF(OR(E47="NÃO RECALCULADO",E47="FORA_DO_ESCOPO"),"",S47-N47)</x:f>
        <x:v>0</x:v>
      </x:c>
      <x:c r="Y47" s="38" t="n">
        <x:f>IF(OR(E47="NÃO RECALCULADO",E47="FORA_DO_ESCOPO"),"",T47-O47)</x:f>
        <x:v>0</x:v>
      </x:c>
      <x:c r="Z47" s="36" t="str">
        <x:f>IF(E47="NÃO RECALCULADO","N/A",IF(E47="FORA_DO_ESCOPO",IF(AND(U47=P47,V47=Q47),"SIM","NÃO"),IF(AND(ABS(W47)&lt;=0.01,ABS(X47)&lt;=0.01,ABS(Y47)&lt;=0.000000001,U47=P47,V47=Q47),"SIM","NÃO")))</x:f>
        <x:v>SIM</x:v>
      </x:c>
      <x:c r="AA47" s="36" t="str">
        <x:v>Custos, notas de corretagem e operações simultâneas não foram reconstruídos.
Prejuízo acumulado e IRRF foram aceitos como informados pelo usuário.</x:v>
      </x:c>
      <x:c r="AB47" s="36" t="str">
        <x:v>Alíquota de 15% aplicada à modalidade comum.
Compensação limitada ao saldo da modalidade informada.</x:v>
      </x:c>
      <x:c r="AC47" s="36" t="str">
        <x:v>receita_bolsa</x:v>
      </x:c>
      <x:c r="AD47" s="42" t="str">
        <x:v>https://www.gov.br/receitafederal/pt-br/assuntos/meu-imposto-de-renda/pagamento/renda-variavel/bolsa-de-valores-1</x:v>
      </x:c>
      <x:c r="AE47" s="36" t="str">
        <x:v>validacao/tributacao/validar_renda_variavel_independente.py</x:v>
      </x:c>
      <x:c r="AF47" s="40" t="str"/>
      <x:c r="AG47" s="41"/>
      <x:c r="AH47" s="40" t="str"/>
    </x:row>
    <x:row r="48" ht="52.79999923706055" hidden="0" customHeight="1">
      <x:c r="A48" s="36" t="str">
        <x:v>acao_comum_compensa_prejuizo</x:v>
      </x:c>
      <x:c r="B48" s="36" t="str">
        <x:v>renda_variavel</x:v>
      </x:c>
      <x:c r="C48" s="36" t="str">
        <x:v>conformidade_fonte_oficial_com_entrada_usuario</x:v>
      </x:c>
      <x:c r="D48" s="36" t="str">
        <x:v>acao</x:v>
      </x:c>
      <x:c r="E48" s="47" t="str">
        <x:v>PENDENTE_PREMISSA</x:v>
      </x:c>
      <x:c r="F48" s="37" t="n">
        <x:v>10000</x:v>
      </x:c>
      <x:c r="G48" s="37" t="n">
        <x:v>11000</x:v>
      </x:c>
      <x:c r="H48" s="37" t="n">
        <x:f>MAX(0,G48-F48)</x:f>
        <x:v>1000</x:v>
      </x:c>
      <x:c r="I48" s="39" t="n">
        <x:v>46023</x:v>
      </x:c>
      <x:c r="J48" s="39" t="n">
        <x:v>46204</x:v>
      </x:c>
      <x:c r="K48" s="36" t="n">
        <x:f>J48-I48</x:f>
        <x:v>181</x:v>
      </x:c>
      <x:c r="L48" s="36" t="str">
        <x:v>{"valor_vendas_mes":25000,"metadados":{"prejuizo_compensavel_comum":400}}</x:v>
      </x:c>
      <x:c r="M48" s="37" t="n">
        <x:v>90</x:v>
      </x:c>
      <x:c r="N48" s="37" t="n">
        <x:v>10910</x:v>
      </x:c>
      <x:c r="O48" s="38" t="n">
        <x:v>0.09</x:v>
      </x:c>
      <x:c r="P48" s="36" t="str">
        <x:v>estimada</x:v>
      </x:c>
      <x:c r="Q48" s="36" t="str">
        <x:v>acao_comum_2026</x:v>
      </x:c>
      <x:c r="R48" s="37" t="n">
        <x:v>90</x:v>
      </x:c>
      <x:c r="S48" s="37" t="n">
        <x:v>10910</x:v>
      </x:c>
      <x:c r="T48" s="38" t="n">
        <x:v>0.09</x:v>
      </x:c>
      <x:c r="U48" s="36" t="str">
        <x:v>estimada</x:v>
      </x:c>
      <x:c r="V48" s="36" t="str">
        <x:v>acao_comum_2026</x:v>
      </x:c>
      <x:c r="W48" s="37" t="n">
        <x:f>IF(OR(E48="NÃO RECALCULADO",E48="FORA_DO_ESCOPO"),"",R48-M48)</x:f>
        <x:v>0</x:v>
      </x:c>
      <x:c r="X48" s="37" t="n">
        <x:f>IF(OR(E48="NÃO RECALCULADO",E48="FORA_DO_ESCOPO"),"",S48-N48)</x:f>
        <x:v>0</x:v>
      </x:c>
      <x:c r="Y48" s="38" t="n">
        <x:f>IF(OR(E48="NÃO RECALCULADO",E48="FORA_DO_ESCOPO"),"",T48-O48)</x:f>
        <x:v>0</x:v>
      </x:c>
      <x:c r="Z48" s="36" t="str">
        <x:f>IF(E48="NÃO RECALCULADO","N/A",IF(E48="FORA_DO_ESCOPO",IF(AND(U48=P48,V48=Q48),"SIM","NÃO"),IF(AND(ABS(W48)&lt;=0.01,ABS(X48)&lt;=0.01,ABS(Y48)&lt;=0.000000001,U48=P48,V48=Q48),"SIM","NÃO")))</x:f>
        <x:v>SIM</x:v>
      </x:c>
      <x:c r="AA48" s="36" t="str">
        <x:v>Custos, notas de corretagem e operações simultâneas não foram reconstruídos.
Prejuízo acumulado e IRRF foram aceitos como informados pelo usuário.</x:v>
      </x:c>
      <x:c r="AB48" s="36" t="str">
        <x:v>Alíquota de 15% aplicada à modalidade comum.
Compensação limitada ao saldo da modalidade informada.</x:v>
      </x:c>
      <x:c r="AC48" s="36" t="str">
        <x:v>receita_bolsa; receita_revar</x:v>
      </x:c>
      <x:c r="AD48" s="42" t="str">
        <x:v>https://www.gov.br/receitafederal/pt-br/assuntos/meu-imposto-de-renda/pagamento/renda-variavel/bolsa-de-valores-1
https://www.gov.br/pt-br/servicos/apurar-imposto-sobre-renda-variavel</x:v>
      </x:c>
      <x:c r="AE48" s="36" t="str">
        <x:v>validacao/tributacao/validar_renda_variavel_independente.py</x:v>
      </x:c>
      <x:c r="AF48" s="40" t="str"/>
      <x:c r="AG48" s="41"/>
      <x:c r="AH48" s="40" t="str"/>
    </x:row>
    <x:row r="49" ht="52.79999923706055" hidden="0" customHeight="1">
      <x:c r="A49" s="36" t="str">
        <x:v>acao_comum_compensa_irrf</x:v>
      </x:c>
      <x:c r="B49" s="36" t="str">
        <x:v>renda_variavel</x:v>
      </x:c>
      <x:c r="C49" s="36" t="str">
        <x:v>conformidade_fonte_oficial_com_entrada_usuario</x:v>
      </x:c>
      <x:c r="D49" s="36" t="str">
        <x:v>acao</x:v>
      </x:c>
      <x:c r="E49" s="47" t="str">
        <x:v>PENDENTE_PREMISSA</x:v>
      </x:c>
      <x:c r="F49" s="37" t="n">
        <x:v>10000</x:v>
      </x:c>
      <x:c r="G49" s="37" t="n">
        <x:v>11000</x:v>
      </x:c>
      <x:c r="H49" s="37" t="n">
        <x:f>MAX(0,G49-F49)</x:f>
        <x:v>1000</x:v>
      </x:c>
      <x:c r="I49" s="39" t="n">
        <x:v>46023</x:v>
      </x:c>
      <x:c r="J49" s="39" t="n">
        <x:v>46204</x:v>
      </x:c>
      <x:c r="K49" s="36" t="n">
        <x:f>J49-I49</x:f>
        <x:v>181</x:v>
      </x:c>
      <x:c r="L49" s="36" t="str">
        <x:v>{"valor_vendas_mes":25000,"metadados":{"irrf_comum":20}}</x:v>
      </x:c>
      <x:c r="M49" s="37" t="n">
        <x:v>130</x:v>
      </x:c>
      <x:c r="N49" s="37" t="n">
        <x:v>10870</x:v>
      </x:c>
      <x:c r="O49" s="38" t="n">
        <x:v>0.13</x:v>
      </x:c>
      <x:c r="P49" s="36" t="str">
        <x:v>estimada</x:v>
      </x:c>
      <x:c r="Q49" s="36" t="str">
        <x:v>acao_comum_2026</x:v>
      </x:c>
      <x:c r="R49" s="37" t="n">
        <x:v>130</x:v>
      </x:c>
      <x:c r="S49" s="37" t="n">
        <x:v>10870</x:v>
      </x:c>
      <x:c r="T49" s="38" t="n">
        <x:v>0.13</x:v>
      </x:c>
      <x:c r="U49" s="36" t="str">
        <x:v>estimada</x:v>
      </x:c>
      <x:c r="V49" s="36" t="str">
        <x:v>acao_comum_2026</x:v>
      </x:c>
      <x:c r="W49" s="37" t="n">
        <x:f>IF(OR(E49="NÃO RECALCULADO",E49="FORA_DO_ESCOPO"),"",R49-M49)</x:f>
        <x:v>0</x:v>
      </x:c>
      <x:c r="X49" s="37" t="n">
        <x:f>IF(OR(E49="NÃO RECALCULADO",E49="FORA_DO_ESCOPO"),"",S49-N49)</x:f>
        <x:v>0</x:v>
      </x:c>
      <x:c r="Y49" s="38" t="n">
        <x:f>IF(OR(E49="NÃO RECALCULADO",E49="FORA_DO_ESCOPO"),"",T49-O49)</x:f>
        <x:v>0</x:v>
      </x:c>
      <x:c r="Z49" s="36" t="str">
        <x:f>IF(E49="NÃO RECALCULADO","N/A",IF(E49="FORA_DO_ESCOPO",IF(AND(U49=P49,V49=Q49),"SIM","NÃO"),IF(AND(ABS(W49)&lt;=0.01,ABS(X49)&lt;=0.01,ABS(Y49)&lt;=0.000000001,U49=P49,V49=Q49),"SIM","NÃO")))</x:f>
        <x:v>SIM</x:v>
      </x:c>
      <x:c r="AA49" s="36" t="str">
        <x:v>Custos, notas de corretagem e operações simultâneas não foram reconstruídos.
Prejuízo acumulado e IRRF foram aceitos como informados pelo usuário.</x:v>
      </x:c>
      <x:c r="AB49" s="36" t="str">
        <x:v>Alíquota de 15% aplicada à modalidade comum.
Compensação limitada ao saldo da modalidade informada.</x:v>
      </x:c>
      <x:c r="AC49" s="36" t="str">
        <x:v>receita_bolsa; receita_revar</x:v>
      </x:c>
      <x:c r="AD49" s="42" t="str">
        <x:v>https://www.gov.br/receitafederal/pt-br/assuntos/meu-imposto-de-renda/pagamento/renda-variavel/bolsa-de-valores-1
https://www.gov.br/pt-br/servicos/apurar-imposto-sobre-renda-variavel</x:v>
      </x:c>
      <x:c r="AE49" s="36" t="str">
        <x:v>validacao/tributacao/validar_renda_variavel_independente.py</x:v>
      </x:c>
      <x:c r="AF49" s="40" t="str"/>
      <x:c r="AG49" s="41"/>
      <x:c r="AH49" s="40" t="str"/>
    </x:row>
    <x:row r="50" ht="52.79999923706055" hidden="0" customHeight="1">
      <x:c r="A50" s="36" t="str">
        <x:v>acao_day_trade_20_porcento</x:v>
      </x:c>
      <x:c r="B50" s="36" t="str">
        <x:v>renda_variavel</x:v>
      </x:c>
      <x:c r="C50" s="36" t="str">
        <x:v>conformidade_fonte_oficial</x:v>
      </x:c>
      <x:c r="D50" s="36" t="str">
        <x:v>acao</x:v>
      </x:c>
      <x:c r="E50" s="47" t="str">
        <x:v>PENDENTE_PREMISSA</x:v>
      </x:c>
      <x:c r="F50" s="37" t="n">
        <x:v>10000</x:v>
      </x:c>
      <x:c r="G50" s="37" t="n">
        <x:v>11000</x:v>
      </x:c>
      <x:c r="H50" s="37" t="n">
        <x:f>MAX(0,G50-F50)</x:f>
        <x:v>1000</x:v>
      </x:c>
      <x:c r="I50" s="39" t="n">
        <x:v>46204</x:v>
      </x:c>
      <x:c r="J50" s="39" t="n">
        <x:v>46204</x:v>
      </x:c>
      <x:c r="K50" s="36" t="n">
        <x:f>J50-I50</x:f>
        <x:v>0</x:v>
      </x:c>
      <x:c r="L50" s="36" t="str">
        <x:v>{"valor_vendas_mes":10000,"day_trade":true}</x:v>
      </x:c>
      <x:c r="M50" s="37" t="n">
        <x:v>200</x:v>
      </x:c>
      <x:c r="N50" s="37" t="n">
        <x:v>10800</x:v>
      </x:c>
      <x:c r="O50" s="38" t="n">
        <x:v>0.2</x:v>
      </x:c>
      <x:c r="P50" s="36" t="str">
        <x:v>estimada</x:v>
      </x:c>
      <x:c r="Q50" s="36" t="str">
        <x:v>acao_daytrade_2026</x:v>
      </x:c>
      <x:c r="R50" s="37" t="n">
        <x:v>200</x:v>
      </x:c>
      <x:c r="S50" s="37" t="n">
        <x:v>10800</x:v>
      </x:c>
      <x:c r="T50" s="38" t="n">
        <x:v>0.2</x:v>
      </x:c>
      <x:c r="U50" s="36" t="str">
        <x:v>estimada</x:v>
      </x:c>
      <x:c r="V50" s="36" t="str">
        <x:v>acao_daytrade_2026</x:v>
      </x:c>
      <x:c r="W50" s="37" t="n">
        <x:f>IF(OR(E50="NÃO RECALCULADO",E50="FORA_DO_ESCOPO"),"",R50-M50)</x:f>
        <x:v>0</x:v>
      </x:c>
      <x:c r="X50" s="37" t="n">
        <x:f>IF(OR(E50="NÃO RECALCULADO",E50="FORA_DO_ESCOPO"),"",S50-N50)</x:f>
        <x:v>0</x:v>
      </x:c>
      <x:c r="Y50" s="38" t="n">
        <x:f>IF(OR(E50="NÃO RECALCULADO",E50="FORA_DO_ESCOPO"),"",T50-O50)</x:f>
        <x:v>0</x:v>
      </x:c>
      <x:c r="Z50" s="36" t="str">
        <x:f>IF(E50="NÃO RECALCULADO","N/A",IF(E50="FORA_DO_ESCOPO",IF(AND(U50=P50,V50=Q50),"SIM","NÃO"),IF(AND(ABS(W50)&lt;=0.01,ABS(X50)&lt;=0.01,ABS(Y50)&lt;=0.000000001,U50=P50,V50=Q50),"SIM","NÃO")))</x:f>
        <x:v>SIM</x:v>
      </x:c>
      <x:c r="AA50" s="36" t="str">
        <x:v>Custos, notas de corretagem e operações simultâneas não foram reconstruídos.
Prejuízo acumulado e IRRF foram aceitos como informados pelo usuário.</x:v>
      </x:c>
      <x:c r="AB50" s="36" t="str">
        <x:v>Alíquota de 20% aplicada à modalidade day_trade.
Compensação limitada ao saldo da modalidade informada.</x:v>
      </x:c>
      <x:c r="AC50" s="36" t="str">
        <x:v>receita_bolsa</x:v>
      </x:c>
      <x:c r="AD50" s="42" t="str">
        <x:v>https://www.gov.br/receitafederal/pt-br/assuntos/meu-imposto-de-renda/pagamento/renda-variavel/bolsa-de-valores-1</x:v>
      </x:c>
      <x:c r="AE50" s="36" t="str">
        <x:v>validacao/tributacao/validar_renda_variavel_independente.py</x:v>
      </x:c>
      <x:c r="AF50" s="40" t="str"/>
      <x:c r="AG50" s="41"/>
      <x:c r="AH50" s="40" t="str"/>
    </x:row>
    <x:row r="51" ht="52.79999923706055" hidden="0" customHeight="1">
      <x:c r="A51" s="36" t="str">
        <x:v>fii_venda_com_ganho</x:v>
      </x:c>
      <x:c r="B51" s="36" t="str">
        <x:v>renda_variavel</x:v>
      </x:c>
      <x:c r="C51" s="36" t="str">
        <x:v>conformidade_fonte_oficial</x:v>
      </x:c>
      <x:c r="D51" s="36" t="str">
        <x:v>fii</x:v>
      </x:c>
      <x:c r="E51" s="47" t="str">
        <x:v>PENDENTE_PREMISSA</x:v>
      </x:c>
      <x:c r="F51" s="37" t="n">
        <x:v>10000</x:v>
      </x:c>
      <x:c r="G51" s="37" t="n">
        <x:v>11000</x:v>
      </x:c>
      <x:c r="H51" s="37" t="n">
        <x:f>MAX(0,G51-F51)</x:f>
        <x:v>1000</x:v>
      </x:c>
      <x:c r="I51" s="39" t="n">
        <x:v>46023</x:v>
      </x:c>
      <x:c r="J51" s="39" t="n">
        <x:v>46204</x:v>
      </x:c>
      <x:c r="K51" s="36" t="n">
        <x:f>J51-I51</x:f>
        <x:v>181</x:v>
      </x:c>
      <x:c r="L51" s="36" t="str"/>
      <x:c r="M51" s="37" t="n">
        <x:v>200</x:v>
      </x:c>
      <x:c r="N51" s="37" t="n">
        <x:v>10800</x:v>
      </x:c>
      <x:c r="O51" s="38" t="n">
        <x:v>0.2</x:v>
      </x:c>
      <x:c r="P51" s="36" t="str">
        <x:v>estimada</x:v>
      </x:c>
      <x:c r="Q51" s="36" t="str">
        <x:v>fii_comum_2026</x:v>
      </x:c>
      <x:c r="R51" s="37" t="n">
        <x:v>200</x:v>
      </x:c>
      <x:c r="S51" s="37" t="n">
        <x:v>10800</x:v>
      </x:c>
      <x:c r="T51" s="38" t="n">
        <x:v>0.2</x:v>
      </x:c>
      <x:c r="U51" s="36" t="str">
        <x:v>estimada</x:v>
      </x:c>
      <x:c r="V51" s="36" t="str">
        <x:v>fii_comum_2026</x:v>
      </x:c>
      <x:c r="W51" s="37" t="n">
        <x:f>IF(OR(E51="NÃO RECALCULADO",E51="FORA_DO_ESCOPO"),"",R51-M51)</x:f>
        <x:v>0</x:v>
      </x:c>
      <x:c r="X51" s="37" t="n">
        <x:f>IF(OR(E51="NÃO RECALCULADO",E51="FORA_DO_ESCOPO"),"",S51-N51)</x:f>
        <x:v>0</x:v>
      </x:c>
      <x:c r="Y51" s="38" t="n">
        <x:f>IF(OR(E51="NÃO RECALCULADO",E51="FORA_DO_ESCOPO"),"",T51-O51)</x:f>
        <x:v>0</x:v>
      </x:c>
      <x:c r="Z51" s="36" t="str">
        <x:f>IF(E51="NÃO RECALCULADO","N/A",IF(E51="FORA_DO_ESCOPO",IF(AND(U51=P51,V51=Q51),"SIM","NÃO"),IF(AND(ABS(W51)&lt;=0.01,ABS(X51)&lt;=0.01,ABS(Y51)&lt;=0.000000001,U51=P51,V51=Q51),"SIM","NÃO")))</x:f>
        <x:v>SIM</x:v>
      </x:c>
      <x:c r="AA51" s="36" t="str">
        <x:v>Custos, notas de corretagem e operações simultâneas não foram reconstruídos.
Prejuízo acumulado e IRRF foram aceitos como informados pelo usuário.</x:v>
      </x:c>
      <x:c r="AB51" s="36" t="str">
        <x:v>Alíquota de 20% aplicada à modalidade fii.
Compensação limitada ao saldo da modalidade informada.</x:v>
      </x:c>
      <x:c r="AC51" s="36" t="str">
        <x:v>receita_bolsa</x:v>
      </x:c>
      <x:c r="AD51" s="42" t="str">
        <x:v>https://www.gov.br/receitafederal/pt-br/assuntos/meu-imposto-de-renda/pagamento/renda-variavel/bolsa-de-valores-1</x:v>
      </x:c>
      <x:c r="AE51" s="36" t="str">
        <x:v>validacao/tributacao/validar_renda_variavel_independente.py</x:v>
      </x:c>
      <x:c r="AF51" s="40" t="str"/>
      <x:c r="AG51" s="41"/>
      <x:c r="AH51" s="40" t="str"/>
    </x:row>
    <x:row r="52" ht="52.79999923706055" hidden="0" customHeight="1">
      <x:c r="A52" s="36" t="str">
        <x:v>etf_comum_sem_isencao_mensal</x:v>
      </x:c>
      <x:c r="B52" s="36" t="str">
        <x:v>renda_variavel</x:v>
      </x:c>
      <x:c r="C52" s="36" t="str">
        <x:v>regressao_implementacao_pendente_classificacao_etf</x:v>
      </x:c>
      <x:c r="D52" s="36" t="str">
        <x:v>etf</x:v>
      </x:c>
      <x:c r="E52" s="47" t="str">
        <x:v>PENDENTE_PREMISSA</x:v>
      </x:c>
      <x:c r="F52" s="37" t="n">
        <x:v>10000</x:v>
      </x:c>
      <x:c r="G52" s="37" t="n">
        <x:v>11000</x:v>
      </x:c>
      <x:c r="H52" s="37" t="n">
        <x:f>MAX(0,G52-F52)</x:f>
        <x:v>1000</x:v>
      </x:c>
      <x:c r="I52" s="39" t="n">
        <x:v>46023</x:v>
      </x:c>
      <x:c r="J52" s="39" t="n">
        <x:v>46204</x:v>
      </x:c>
      <x:c r="K52" s="36" t="n">
        <x:f>J52-I52</x:f>
        <x:v>181</x:v>
      </x:c>
      <x:c r="L52" s="36" t="str">
        <x:v>{"valor_vendas_mes":10000}</x:v>
      </x:c>
      <x:c r="M52" s="37" t="n">
        <x:v>150</x:v>
      </x:c>
      <x:c r="N52" s="37" t="n">
        <x:v>10850</x:v>
      </x:c>
      <x:c r="O52" s="38" t="n">
        <x:v>0.15</x:v>
      </x:c>
      <x:c r="P52" s="36" t="str">
        <x:v>estimada</x:v>
      </x:c>
      <x:c r="Q52" s="36" t="str">
        <x:v>etf_comum_2026</x:v>
      </x:c>
      <x:c r="R52" s="37" t="n">
        <x:v>150</x:v>
      </x:c>
      <x:c r="S52" s="37" t="n">
        <x:v>10850</x:v>
      </x:c>
      <x:c r="T52" s="38" t="n">
        <x:v>0.15</x:v>
      </x:c>
      <x:c r="U52" s="36" t="str">
        <x:v>estimada</x:v>
      </x:c>
      <x:c r="V52" s="36" t="str">
        <x:v>etf_comum_2026</x:v>
      </x:c>
      <x:c r="W52" s="37" t="n">
        <x:f>IF(OR(E52="NÃO RECALCULADO",E52="FORA_DO_ESCOPO"),"",R52-M52)</x:f>
        <x:v>0</x:v>
      </x:c>
      <x:c r="X52" s="37" t="n">
        <x:f>IF(OR(E52="NÃO RECALCULADO",E52="FORA_DO_ESCOPO"),"",S52-N52)</x:f>
        <x:v>0</x:v>
      </x:c>
      <x:c r="Y52" s="38" t="n">
        <x:f>IF(OR(E52="NÃO RECALCULADO",E52="FORA_DO_ESCOPO"),"",T52-O52)</x:f>
        <x:v>0</x:v>
      </x:c>
      <x:c r="Z52" s="36" t="str">
        <x:f>IF(E52="NÃO RECALCULADO","N/A",IF(E52="FORA_DO_ESCOPO",IF(AND(U52=P52,V52=Q52),"SIM","NÃO"),IF(AND(ABS(W52)&lt;=0.01,ABS(X52)&lt;=0.01,ABS(Y52)&lt;=0.000000001,U52=P52,V52=Q52),"SIM","NÃO")))</x:f>
        <x:v>SIM</x:v>
      </x:c>
      <x:c r="AA52" s="36" t="str">
        <x:v>Custos, notas de corretagem e operações simultâneas não foram reconstruídos.
Prejuízo acumulado e IRRF foram aceitos como informados pelo usuário.</x:v>
      </x:c>
      <x:c r="AB52" s="36" t="str">
        <x:v>Alíquota de 15% aplicada à modalidade comum.
Compensação limitada ao saldo da modalidade informada.</x:v>
      </x:c>
      <x:c r="AC52" s="36" t="str">
        <x:v>receita_isencoes</x:v>
      </x:c>
      <x:c r="AD52" s="42" t="str">
        <x:v>https://www.gov.br/receitafederal/pt-br/assuntos/meu-imposto-de-renda/pagamento/renda-variavel/bolsa-de-valores-1/isencoes</x:v>
      </x:c>
      <x:c r="AE52" s="36" t="str">
        <x:v>validacao/tributacao/validar_renda_variavel_independente.py</x:v>
      </x:c>
      <x:c r="AF52" s="40" t="str"/>
      <x:c r="AG52" s="41"/>
      <x:c r="AH52" s="40" t="str"/>
    </x:row>
    <x:row r="53" ht="52.79999923706055" hidden="0" customHeight="1">
      <x:c r="A53" s="36" t="str">
        <x:v>acao_sem_ganho</x:v>
      </x:c>
      <x:c r="B53" s="36" t="str">
        <x:v>renda_variavel</x:v>
      </x:c>
      <x:c r="C53" s="36" t="str">
        <x:v>conformidade_fonte_oficial</x:v>
      </x:c>
      <x:c r="D53" s="36" t="str">
        <x:v>acao</x:v>
      </x:c>
      <x:c r="E53" s="47" t="str">
        <x:v>PENDENTE_PREMISSA</x:v>
      </x:c>
      <x:c r="F53" s="37" t="n">
        <x:v>11000</x:v>
      </x:c>
      <x:c r="G53" s="37" t="n">
        <x:v>10000</x:v>
      </x:c>
      <x:c r="H53" s="37" t="n">
        <x:f>MAX(0,G53-F53)</x:f>
        <x:v>0</x:v>
      </x:c>
      <x:c r="I53" s="39" t="n">
        <x:v>46023</x:v>
      </x:c>
      <x:c r="J53" s="39" t="n">
        <x:v>46204</x:v>
      </x:c>
      <x:c r="K53" s="36" t="n">
        <x:f>J53-I53</x:f>
        <x:v>181</x:v>
      </x:c>
      <x:c r="L53" s="36" t="str">
        <x:v>{"valor_vendas_mes":25000}</x:v>
      </x:c>
      <x:c r="M53" s="37" t="n">
        <x:v>0</x:v>
      </x:c>
      <x:c r="N53" s="37" t="n">
        <x:v>10000</x:v>
      </x:c>
      <x:c r="O53" s="38" t="n">
        <x:v>0</x:v>
      </x:c>
      <x:c r="P53" s="36" t="str">
        <x:v>estimada</x:v>
      </x:c>
      <x:c r="Q53" s="36" t="str">
        <x:v>acao_comum_2026</x:v>
      </x:c>
      <x:c r="R53" s="37" t="n">
        <x:v>0</x:v>
      </x:c>
      <x:c r="S53" s="37" t="n">
        <x:v>10000</x:v>
      </x:c>
      <x:c r="T53" s="38" t="n">
        <x:v>0</x:v>
      </x:c>
      <x:c r="U53" s="36" t="str">
        <x:v>estimada</x:v>
      </x:c>
      <x:c r="V53" s="36" t="str">
        <x:v>acao_comum_2026</x:v>
      </x:c>
      <x:c r="W53" s="37" t="n">
        <x:f>IF(OR(E53="NÃO RECALCULADO",E53="FORA_DO_ESCOPO"),"",R53-M53)</x:f>
        <x:v>0</x:v>
      </x:c>
      <x:c r="X53" s="37" t="n">
        <x:f>IF(OR(E53="NÃO RECALCULADO",E53="FORA_DO_ESCOPO"),"",S53-N53)</x:f>
        <x:v>0</x:v>
      </x:c>
      <x:c r="Y53" s="38" t="n">
        <x:f>IF(OR(E53="NÃO RECALCULADO",E53="FORA_DO_ESCOPO"),"",T53-O53)</x:f>
        <x:v>0</x:v>
      </x:c>
      <x:c r="Z53" s="36" t="str">
        <x:f>IF(E53="NÃO RECALCULADO","N/A",IF(E53="FORA_DO_ESCOPO",IF(AND(U53=P53,V53=Q53),"SIM","NÃO"),IF(AND(ABS(W53)&lt;=0.01,ABS(X53)&lt;=0.01,ABS(Y53)&lt;=0.000000001,U53=P53,V53=Q53),"SIM","NÃO")))</x:f>
        <x:v>SIM</x:v>
      </x:c>
      <x:c r="AA53" s="36" t="str">
        <x:v>Custos, notas de corretagem e operações simultâneas não foram reconstruídos.
Prejuízo acumulado e IRRF foram aceitos como informados pelo usuário.</x:v>
      </x:c>
      <x:c r="AB53" s="36" t="str">
        <x:v>Alíquota de 15% aplicada à modalidade comum.
Compensação limitada ao saldo da modalidade informada.</x:v>
      </x:c>
      <x:c r="AC53" s="36" t="str">
        <x:v>receita_bolsa</x:v>
      </x:c>
      <x:c r="AD53" s="42" t="str">
        <x:v>https://www.gov.br/receitafederal/pt-br/assuntos/meu-imposto-de-renda/pagamento/renda-variavel/bolsa-de-valores-1</x:v>
      </x:c>
      <x:c r="AE53" s="36" t="str">
        <x:v>validacao/tributacao/validar_renda_variavel_independente.py</x:v>
      </x:c>
      <x:c r="AF53" s="40" t="str"/>
      <x:c r="AG53" s="41"/>
      <x:c r="AH53" s="40" t="str"/>
    </x:row>
    <x:row r="54" ht="52.79999923706055" hidden="0" customHeight="1">
      <x:c r="A54" s="36" t="str">
        <x:v>acao_sem_valor_vendas_nao_aplica_isencao</x:v>
      </x:c>
      <x:c r="B54" s="36" t="str">
        <x:v>renda_variavel</x:v>
      </x:c>
      <x:c r="C54" s="36" t="str">
        <x:v>validacao_conservadora_por_dado_ausente</x:v>
      </x:c>
      <x:c r="D54" s="36" t="str">
        <x:v>acao</x:v>
      </x:c>
      <x:c r="E54" s="47" t="str">
        <x:v>PENDENTE_PREMISSA</x:v>
      </x:c>
      <x:c r="F54" s="37" t="n">
        <x:v>10000</x:v>
      </x:c>
      <x:c r="G54" s="37" t="n">
        <x:v>11000</x:v>
      </x:c>
      <x:c r="H54" s="37" t="n">
        <x:f>MAX(0,G54-F54)</x:f>
        <x:v>1000</x:v>
      </x:c>
      <x:c r="I54" s="39" t="n">
        <x:v>46023</x:v>
      </x:c>
      <x:c r="J54" s="39" t="n">
        <x:v>46204</x:v>
      </x:c>
      <x:c r="K54" s="36" t="n">
        <x:f>J54-I54</x:f>
        <x:v>181</x:v>
      </x:c>
      <x:c r="L54" s="36" t="str"/>
      <x:c r="M54" s="37" t="n">
        <x:v>150</x:v>
      </x:c>
      <x:c r="N54" s="37" t="n">
        <x:v>10850</x:v>
      </x:c>
      <x:c r="O54" s="38" t="n">
        <x:v>0.15</x:v>
      </x:c>
      <x:c r="P54" s="36" t="str">
        <x:v>estimada</x:v>
      </x:c>
      <x:c r="Q54" s="36" t="str">
        <x:v>acao_comum_2026</x:v>
      </x:c>
      <x:c r="R54" s="37" t="n">
        <x:v>150</x:v>
      </x:c>
      <x:c r="S54" s="37" t="n">
        <x:v>10850</x:v>
      </x:c>
      <x:c r="T54" s="38" t="n">
        <x:v>0.15</x:v>
      </x:c>
      <x:c r="U54" s="36" t="str">
        <x:v>estimada</x:v>
      </x:c>
      <x:c r="V54" s="36" t="str">
        <x:v>acao_comum_2026</x:v>
      </x:c>
      <x:c r="W54" s="37" t="n">
        <x:f>IF(OR(E54="NÃO RECALCULADO",E54="FORA_DO_ESCOPO"),"",R54-M54)</x:f>
        <x:v>0</x:v>
      </x:c>
      <x:c r="X54" s="37" t="n">
        <x:f>IF(OR(E54="NÃO RECALCULADO",E54="FORA_DO_ESCOPO"),"",S54-N54)</x:f>
        <x:v>0</x:v>
      </x:c>
      <x:c r="Y54" s="38" t="n">
        <x:f>IF(OR(E54="NÃO RECALCULADO",E54="FORA_DO_ESCOPO"),"",T54-O54)</x:f>
        <x:v>0</x:v>
      </x:c>
      <x:c r="Z54" s="36" t="str">
        <x:f>IF(E54="NÃO RECALCULADO","N/A",IF(E54="FORA_DO_ESCOPO",IF(AND(U54=P54,V54=Q54),"SIM","NÃO"),IF(AND(ABS(W54)&lt;=0.01,ABS(X54)&lt;=0.01,ABS(Y54)&lt;=0.000000001,U54=P54,V54=Q54),"SIM","NÃO")))</x:f>
        <x:v>SIM</x:v>
      </x:c>
      <x:c r="AA54" s="36" t="str">
        <x:v>Custos, notas de corretagem e operações simultâneas não foram reconstruídos.
Prejuízo acumulado e IRRF foram aceitos como informados pelo usuário.</x:v>
      </x:c>
      <x:c r="AB54" s="36" t="str">
        <x:v>Alíquota de 15% aplicada à modalidade comum.
Compensação limitada ao saldo da modalidade informada.</x:v>
      </x:c>
      <x:c r="AC54" s="36" t="str">
        <x:v>receita_isencoes</x:v>
      </x:c>
      <x:c r="AD54" s="42" t="str">
        <x:v>https://www.gov.br/receitafederal/pt-br/assuntos/meu-imposto-de-renda/pagamento/renda-variavel/bolsa-de-valores-1/isencoes</x:v>
      </x:c>
      <x:c r="AE54" s="36" t="str">
        <x:v>validacao/tributacao/validar_renda_variavel_independente.py</x:v>
      </x:c>
      <x:c r="AF54" s="40" t="str"/>
      <x:c r="AG54" s="41"/>
      <x:c r="AH54" s="40" t="str"/>
    </x:row>
    <x:row r="55" ht="26.399999618530273" hidden="0" customHeight="1">
      <x:c r="A55" s="36" t="str">
        <x:v>produto_bdr_nao_suportado</x:v>
      </x:c>
      <x:c r="B55" s="36" t="str">
        <x:v>renda_variavel</x:v>
      </x:c>
      <x:c r="C55" s="36" t="str">
        <x:v>validacao_de_indeterminacao</x:v>
      </x:c>
      <x:c r="D55" s="36" t="str">
        <x:v>bdr</x:v>
      </x:c>
      <x:c r="E55" s="49" t="str">
        <x:v>FORA_DO_ESCOPO</x:v>
      </x:c>
      <x:c r="F55" s="37" t="n">
        <x:v>10000</x:v>
      </x:c>
      <x:c r="G55" s="37" t="n">
        <x:v>11000</x:v>
      </x:c>
      <x:c r="H55" s="37" t="n">
        <x:f>MAX(0,G55-F55)</x:f>
        <x:v>1000</x:v>
      </x:c>
      <x:c r="I55" s="39" t="n">
        <x:v>46023</x:v>
      </x:c>
      <x:c r="J55" s="39" t="n">
        <x:v>46204</x:v>
      </x:c>
      <x:c r="K55" s="36" t="n">
        <x:f>J55-I55</x:f>
        <x:v>181</x:v>
      </x:c>
      <x:c r="L55" s="36" t="str"/>
      <x:c r="M55" s="37"/>
      <x:c r="N55" s="37"/>
      <x:c r="O55" s="38"/>
      <x:c r="P55" s="36" t="str">
        <x:v>indeterminada</x:v>
      </x:c>
      <x:c r="Q55" s="36" t="str">
        <x:v>produto_nao_suportado</x:v>
      </x:c>
      <x:c r="R55" s="37"/>
      <x:c r="S55" s="37"/>
      <x:c r="T55" s="38"/>
      <x:c r="U55" s="36" t="str">
        <x:v>indeterminada</x:v>
      </x:c>
      <x:c r="V55" s="36" t="str">
        <x:v>produto_nao_suportado</x:v>
      </x:c>
      <x:c r="W55" s="37" t="str">
        <x:f>IF(OR(E55="NÃO RECALCULADO",E55="FORA_DO_ESCOPO"),"",R55-M55)</x:f>
      </x:c>
      <x:c r="X55" s="37" t="str">
        <x:f>IF(OR(E55="NÃO RECALCULADO",E55="FORA_DO_ESCOPO"),"",S55-N55)</x:f>
      </x:c>
      <x:c r="Y55" s="38" t="str">
        <x:f>IF(OR(E55="NÃO RECALCULADO",E55="FORA_DO_ESCOPO"),"",T55-O55)</x:f>
      </x:c>
      <x:c r="Z55" s="36" t="str">
        <x:f>IF(E55="NÃO RECALCULADO","N/A",IF(E55="FORA_DO_ESCOPO",IF(AND(U55=P55,V55=Q55),"SIM","NÃO"),IF(AND(ABS(W55)&lt;=0.01,ABS(X55)&lt;=0.01,ABS(Y55)&lt;=0.000000001,U55=P55,V55=Q55),"SIM","NÃO")))</x:f>
        <x:v>SIM</x:v>
      </x:c>
      <x:c r="AA55" s="36" t="str">
        <x:v>Produto não suportado pela fachada: bdr.</x:v>
      </x:c>
      <x:c r="AB55" s="36" t="str"/>
      <x:c r="AC55" s="36" t="str">
        <x:v>receita_bolsa</x:v>
      </x:c>
      <x:c r="AD55" s="42" t="str">
        <x:v>https://www.gov.br/receitafederal/pt-br/assuntos/meu-imposto-de-renda/pagamento/renda-variavel/bolsa-de-valores-1</x:v>
      </x:c>
      <x:c r="AE55" s="36" t="str">
        <x:v>validacao/tributacao/validar_renda_variavel_independente.py</x:v>
      </x:c>
      <x:c r="AF55" s="40" t="str"/>
      <x:c r="AG55" s="41"/>
      <x:c r="AH55" s="40" t="str"/>
    </x:row>
    <x:row r="56" ht="39.599998474121094" hidden="0" customHeight="1">
      <x:c r="A56" s="36" t="str">
        <x:v>cra_pessoa_fisica_isento</x:v>
      </x:c>
      <x:c r="B56" s="36" t="str">
        <x:v>estruturados</x:v>
      </x:c>
      <x:c r="C56" s="36" t="str">
        <x:v>regressao_implementacao_pendente_revisao</x:v>
      </x:c>
      <x:c r="D56" s="36" t="str">
        <x:v>cra</x:v>
      </x:c>
      <x:c r="E56" s="47" t="str">
        <x:v>PENDENTE_PREMISSA</x:v>
      </x:c>
      <x:c r="F56" s="37" t="n">
        <x:v>10000</x:v>
      </x:c>
      <x:c r="G56" s="37" t="n">
        <x:v>11000</x:v>
      </x:c>
      <x:c r="H56" s="37" t="n">
        <x:f>MAX(0,G56-F56)</x:f>
        <x:v>1000</x:v>
      </x:c>
      <x:c r="I56" s="39" t="n">
        <x:v>46023</x:v>
      </x:c>
      <x:c r="J56" s="39" t="n">
        <x:v>46744</x:v>
      </x:c>
      <x:c r="K56" s="36" t="n">
        <x:f>J56-I56</x:f>
        <x:v>721</x:v>
      </x:c>
      <x:c r="L56" s="36" t="str">
        <x:v>{"pessoa_fisica":true,"metadados":{"elegibilidade_isencao_confirmada":true}}</x:v>
      </x:c>
      <x:c r="M56" s="37" t="n">
        <x:v>0</x:v>
      </x:c>
      <x:c r="N56" s="37" t="n">
        <x:v>11000</x:v>
      </x:c>
      <x:c r="O56" s="38" t="n">
        <x:v>0</x:v>
      </x:c>
      <x:c r="P56" s="36" t="str">
        <x:v>exata_para_premissas</x:v>
      </x:c>
      <x:c r="Q56" s="36" t="str">
        <x:v>rf_isenta_pf_2026</x:v>
      </x:c>
      <x:c r="R56" s="37" t="n">
        <x:v>0</x:v>
      </x:c>
      <x:c r="S56" s="37" t="n">
        <x:v>11000</x:v>
      </x:c>
      <x:c r="T56" s="38" t="n">
        <x:v>0</x:v>
      </x:c>
      <x:c r="U56" s="36" t="str">
        <x:v>exata_para_premissas</x:v>
      </x:c>
      <x:c r="V56" s="36" t="str">
        <x:v>rf_isenta_pf_2026</x:v>
      </x:c>
      <x:c r="W56" s="37" t="n">
        <x:f>IF(OR(E56="NÃO RECALCULADO",E56="FORA_DO_ESCOPO"),"",R56-M56)</x:f>
        <x:v>0</x:v>
      </x:c>
      <x:c r="X56" s="37" t="n">
        <x:f>IF(OR(E56="NÃO RECALCULADO",E56="FORA_DO_ESCOPO"),"",S56-N56)</x:f>
        <x:v>0</x:v>
      </x:c>
      <x:c r="Y56" s="38" t="n">
        <x:f>IF(OR(E56="NÃO RECALCULADO",E56="FORA_DO_ESCOPO"),"",T56-O56)</x:f>
        <x:v>0</x:v>
      </x:c>
      <x:c r="Z56" s="36" t="str">
        <x:f>IF(E56="NÃO RECALCULADO","N/A",IF(E56="FORA_DO_ESCOPO",IF(AND(U56=P56,V56=Q56),"SIM","NÃO"),IF(AND(ABS(W56)&lt;=0.01,ABS(X56)&lt;=0.01,ABS(Y56)&lt;=0.000000001,U56=P56,V56=Q56),"SIM","NÃO")))</x:f>
        <x:v>SIM</x:v>
      </x:c>
      <x:c r="AA56" s="36" t="str">
        <x:v>A legislação de 2026 foi mantida como hipótese até o resgate.
A confirmação foi aceita sem inspeção do documento do instrumento.</x:v>
      </x:c>
      <x:c r="AB56" s="36" t="str">
        <x:v>Isenção condicionada à elegibilidade confirmada para pessoa física.</x:v>
      </x:c>
      <x:c r="AC56" s="36" t="str">
        <x:v>lei_11033_2004</x:v>
      </x:c>
      <x:c r="AD56" s="42" t="str">
        <x:v>https://www.planalto.gov.br/ccivil_03/_ato2004-2006/2004/lei/l11033compilado.htm</x:v>
      </x:c>
      <x:c r="AE56" s="36" t="str">
        <x:v>validacao/tributacao/validar_estruturados_independente.py</x:v>
      </x:c>
      <x:c r="AF56" s="40" t="str"/>
      <x:c r="AG56" s="41"/>
      <x:c r="AH56" s="40" t="str"/>
    </x:row>
    <x:row r="57" ht="39.599998474121094" hidden="0" customHeight="1">
      <x:c r="A57" s="36" t="str">
        <x:v>cri_pessoa_fisica_isento</x:v>
      </x:c>
      <x:c r="B57" s="36" t="str">
        <x:v>estruturados</x:v>
      </x:c>
      <x:c r="C57" s="36" t="str">
        <x:v>regressao_implementacao_pendente_revisao</x:v>
      </x:c>
      <x:c r="D57" s="36" t="str">
        <x:v>cri</x:v>
      </x:c>
      <x:c r="E57" s="47" t="str">
        <x:v>PENDENTE_PREMISSA</x:v>
      </x:c>
      <x:c r="F57" s="37" t="n">
        <x:v>10000</x:v>
      </x:c>
      <x:c r="G57" s="37" t="n">
        <x:v>11000</x:v>
      </x:c>
      <x:c r="H57" s="37" t="n">
        <x:f>MAX(0,G57-F57)</x:f>
        <x:v>1000</x:v>
      </x:c>
      <x:c r="I57" s="39" t="n">
        <x:v>46023</x:v>
      </x:c>
      <x:c r="J57" s="39" t="n">
        <x:v>46744</x:v>
      </x:c>
      <x:c r="K57" s="36" t="n">
        <x:f>J57-I57</x:f>
        <x:v>721</x:v>
      </x:c>
      <x:c r="L57" s="36" t="str">
        <x:v>{"pessoa_fisica":true,"metadados":{"elegibilidade_isencao_confirmada":true}}</x:v>
      </x:c>
      <x:c r="M57" s="37" t="n">
        <x:v>0</x:v>
      </x:c>
      <x:c r="N57" s="37" t="n">
        <x:v>11000</x:v>
      </x:c>
      <x:c r="O57" s="38" t="n">
        <x:v>0</x:v>
      </x:c>
      <x:c r="P57" s="36" t="str">
        <x:v>exata_para_premissas</x:v>
      </x:c>
      <x:c r="Q57" s="36" t="str">
        <x:v>rf_isenta_pf_2026</x:v>
      </x:c>
      <x:c r="R57" s="37" t="n">
        <x:v>0</x:v>
      </x:c>
      <x:c r="S57" s="37" t="n">
        <x:v>11000</x:v>
      </x:c>
      <x:c r="T57" s="38" t="n">
        <x:v>0</x:v>
      </x:c>
      <x:c r="U57" s="36" t="str">
        <x:v>exata_para_premissas</x:v>
      </x:c>
      <x:c r="V57" s="36" t="str">
        <x:v>rf_isenta_pf_2026</x:v>
      </x:c>
      <x:c r="W57" s="37" t="n">
        <x:f>IF(OR(E57="NÃO RECALCULADO",E57="FORA_DO_ESCOPO"),"",R57-M57)</x:f>
        <x:v>0</x:v>
      </x:c>
      <x:c r="X57" s="37" t="n">
        <x:f>IF(OR(E57="NÃO RECALCULADO",E57="FORA_DO_ESCOPO"),"",S57-N57)</x:f>
        <x:v>0</x:v>
      </x:c>
      <x:c r="Y57" s="38" t="n">
        <x:f>IF(OR(E57="NÃO RECALCULADO",E57="FORA_DO_ESCOPO"),"",T57-O57)</x:f>
        <x:v>0</x:v>
      </x:c>
      <x:c r="Z57" s="36" t="str">
        <x:f>IF(E57="NÃO RECALCULADO","N/A",IF(E57="FORA_DO_ESCOPO",IF(AND(U57=P57,V57=Q57),"SIM","NÃO"),IF(AND(ABS(W57)&lt;=0.01,ABS(X57)&lt;=0.01,ABS(Y57)&lt;=0.000000001,U57=P57,V57=Q57),"SIM","NÃO")))</x:f>
        <x:v>SIM</x:v>
      </x:c>
      <x:c r="AA57" s="36" t="str">
        <x:v>A legislação de 2026 foi mantida como hipótese até o resgate.
A confirmação foi aceita sem inspeção do documento do instrumento.</x:v>
      </x:c>
      <x:c r="AB57" s="36" t="str">
        <x:v>Isenção condicionada à elegibilidade confirmada para pessoa física.</x:v>
      </x:c>
      <x:c r="AC57" s="36" t="str">
        <x:v>lei_11033_2004</x:v>
      </x:c>
      <x:c r="AD57" s="42" t="str">
        <x:v>https://www.planalto.gov.br/ccivil_03/_ato2004-2006/2004/lei/l11033compilado.htm</x:v>
      </x:c>
      <x:c r="AE57" s="36" t="str">
        <x:v>validacao/tributacao/validar_estruturados_independente.py</x:v>
      </x:c>
      <x:c r="AF57" s="40" t="str"/>
      <x:c r="AG57" s="41"/>
      <x:c r="AH57" s="40" t="str"/>
    </x:row>
    <x:row r="58" ht="39.599998474121094" hidden="0" customHeight="1">
      <x:c r="A58" s="36" t="str">
        <x:v>debenture_incentivada_pf_isenta</x:v>
      </x:c>
      <x:c r="B58" s="36" t="str">
        <x:v>estruturados</x:v>
      </x:c>
      <x:c r="C58" s="36" t="str">
        <x:v>regressao_implementacao_pendente_revisao</x:v>
      </x:c>
      <x:c r="D58" s="36" t="str">
        <x:v>debenture_incentivada</x:v>
      </x:c>
      <x:c r="E58" s="47" t="str">
        <x:v>PENDENTE_PREMISSA</x:v>
      </x:c>
      <x:c r="F58" s="37" t="n">
        <x:v>10000</x:v>
      </x:c>
      <x:c r="G58" s="37" t="n">
        <x:v>11000</x:v>
      </x:c>
      <x:c r="H58" s="37" t="n">
        <x:f>MAX(0,G58-F58)</x:f>
        <x:v>1000</x:v>
      </x:c>
      <x:c r="I58" s="39" t="n">
        <x:v>46023</x:v>
      </x:c>
      <x:c r="J58" s="39" t="n">
        <x:v>46744</x:v>
      </x:c>
      <x:c r="K58" s="36" t="n">
        <x:f>J58-I58</x:f>
        <x:v>721</x:v>
      </x:c>
      <x:c r="L58" s="36" t="str">
        <x:v>{"pessoa_fisica":true,"metadados":{"elegibilidade_isencao_confirmada":true}}</x:v>
      </x:c>
      <x:c r="M58" s="37" t="n">
        <x:v>0</x:v>
      </x:c>
      <x:c r="N58" s="37" t="n">
        <x:v>11000</x:v>
      </x:c>
      <x:c r="O58" s="38" t="n">
        <x:v>0</x:v>
      </x:c>
      <x:c r="P58" s="36" t="str">
        <x:v>exata_para_premissas</x:v>
      </x:c>
      <x:c r="Q58" s="36" t="str">
        <x:v>rf_isenta_pf_2026</x:v>
      </x:c>
      <x:c r="R58" s="37" t="n">
        <x:v>0</x:v>
      </x:c>
      <x:c r="S58" s="37" t="n">
        <x:v>11000</x:v>
      </x:c>
      <x:c r="T58" s="38" t="n">
        <x:v>0</x:v>
      </x:c>
      <x:c r="U58" s="36" t="str">
        <x:v>exata_para_premissas</x:v>
      </x:c>
      <x:c r="V58" s="36" t="str">
        <x:v>rf_isenta_pf_2026</x:v>
      </x:c>
      <x:c r="W58" s="37" t="n">
        <x:f>IF(OR(E58="NÃO RECALCULADO",E58="FORA_DO_ESCOPO"),"",R58-M58)</x:f>
        <x:v>0</x:v>
      </x:c>
      <x:c r="X58" s="37" t="n">
        <x:f>IF(OR(E58="NÃO RECALCULADO",E58="FORA_DO_ESCOPO"),"",S58-N58)</x:f>
        <x:v>0</x:v>
      </x:c>
      <x:c r="Y58" s="38" t="n">
        <x:f>IF(OR(E58="NÃO RECALCULADO",E58="FORA_DO_ESCOPO"),"",T58-O58)</x:f>
        <x:v>0</x:v>
      </x:c>
      <x:c r="Z58" s="36" t="str">
        <x:f>IF(E58="NÃO RECALCULADO","N/A",IF(E58="FORA_DO_ESCOPO",IF(AND(U58=P58,V58=Q58),"SIM","NÃO"),IF(AND(ABS(W58)&lt;=0.01,ABS(X58)&lt;=0.01,ABS(Y58)&lt;=0.000000001,U58=P58,V58=Q58),"SIM","NÃO")))</x:f>
        <x:v>SIM</x:v>
      </x:c>
      <x:c r="AA58" s="36" t="str">
        <x:v>A legislação de 2026 foi mantida como hipótese até o resgate.
A confirmação foi aceita sem inspeção do documento do instrumento.</x:v>
      </x:c>
      <x:c r="AB58" s="36" t="str">
        <x:v>Isenção condicionada à elegibilidade confirmada para pessoa física.</x:v>
      </x:c>
      <x:c r="AC58" s="36" t="str">
        <x:v>lei_12431_2011</x:v>
      </x:c>
      <x:c r="AD58" s="42" t="str">
        <x:v>https://www.planalto.gov.br/ccivil_03/_ato2011-2014/2011/lei/l12431.htm</x:v>
      </x:c>
      <x:c r="AE58" s="36" t="str">
        <x:v>validacao/tributacao/validar_estruturados_independente.py</x:v>
      </x:c>
      <x:c r="AF58" s="40" t="str"/>
      <x:c r="AG58" s="41"/>
      <x:c r="AH58" s="40" t="str"/>
    </x:row>
    <x:row r="59" ht="39.599998474121094" hidden="0" customHeight="1">
      <x:c r="A59" s="36" t="str">
        <x:v>debenture_comum_721_dias</x:v>
      </x:c>
      <x:c r="B59" s="36" t="str">
        <x:v>estruturados</x:v>
      </x:c>
      <x:c r="C59" s="36" t="str">
        <x:v>conformidade_fonte_oficial</x:v>
      </x:c>
      <x:c r="D59" s="36" t="str">
        <x:v>debenture_comum</x:v>
      </x:c>
      <x:c r="E59" s="47" t="str">
        <x:v>PENDENTE_PREMISSA</x:v>
      </x:c>
      <x:c r="F59" s="37" t="n">
        <x:v>10000</x:v>
      </x:c>
      <x:c r="G59" s="37" t="n">
        <x:v>11000</x:v>
      </x:c>
      <x:c r="H59" s="37" t="n">
        <x:f>MAX(0,G59-F59)</x:f>
        <x:v>1000</x:v>
      </x:c>
      <x:c r="I59" s="39" t="n">
        <x:v>46023</x:v>
      </x:c>
      <x:c r="J59" s="39" t="n">
        <x:v>46744</x:v>
      </x:c>
      <x:c r="K59" s="36" t="n">
        <x:f>J59-I59</x:f>
        <x:v>721</x:v>
      </x:c>
      <x:c r="L59" s="36" t="str"/>
      <x:c r="M59" s="37" t="n">
        <x:v>150</x:v>
      </x:c>
      <x:c r="N59" s="37" t="n">
        <x:v>10850</x:v>
      </x:c>
      <x:c r="O59" s="38" t="n">
        <x:v>0.15</x:v>
      </x:c>
      <x:c r="P59" s="36" t="str">
        <x:v>exata_para_premissas</x:v>
      </x:c>
      <x:c r="Q59" s="36" t="str">
        <x:v>rf_regressiva_2026</x:v>
      </x:c>
      <x:c r="R59" s="37" t="n">
        <x:v>150</x:v>
      </x:c>
      <x:c r="S59" s="37" t="n">
        <x:v>10850</x:v>
      </x:c>
      <x:c r="T59" s="38" t="n">
        <x:v>0.15</x:v>
      </x:c>
      <x:c r="U59" s="36" t="str">
        <x:v>exata_para_premissas</x:v>
      </x:c>
      <x:c r="V59" s="36" t="str">
        <x:v>rf_regressiva_2026</x:v>
      </x:c>
      <x:c r="W59" s="37" t="n">
        <x:f>IF(OR(E59="NÃO RECALCULADO",E59="FORA_DO_ESCOPO"),"",R59-M59)</x:f>
        <x:v>0</x:v>
      </x:c>
      <x:c r="X59" s="37" t="n">
        <x:f>IF(OR(E59="NÃO RECALCULADO",E59="FORA_DO_ESCOPO"),"",S59-N59)</x:f>
        <x:v>0</x:v>
      </x:c>
      <x:c r="Y59" s="38" t="n">
        <x:f>IF(OR(E59="NÃO RECALCULADO",E59="FORA_DO_ESCOPO"),"",T59-O59)</x:f>
        <x:v>0</x:v>
      </x:c>
      <x:c r="Z59" s="36" t="str">
        <x:f>IF(E59="NÃO RECALCULADO","N/A",IF(E59="FORA_DO_ESCOPO",IF(AND(U59=P59,V59=Q59),"SIM","NÃO"),IF(AND(ABS(W59)&lt;=0.01,ABS(X59)&lt;=0.01,ABS(Y59)&lt;=0.000000001,U59=P59,V59=Q59),"SIM","NÃO")))</x:f>
        <x:v>SIM</x:v>
      </x:c>
      <x:c r="AA59" s="36" t="str">
        <x:v>A legislação de 2026 foi mantida como hipótese até o resgate.</x:v>
      </x:c>
      <x:c r="AB59" s="36" t="str">
        <x:v>COE e debênture comum tratados pela tabela regressiva informada.
IOF aplicado antes do IR quando o prazo é inferior a 30 dias.</x:v>
      </x:c>
      <x:c r="AC59" s="36" t="str">
        <x:v>lei_11033_2004</x:v>
      </x:c>
      <x:c r="AD59" s="42" t="str">
        <x:v>https://www.planalto.gov.br/ccivil_03/_ato2004-2006/2004/lei/l11033compilado.htm</x:v>
      </x:c>
      <x:c r="AE59" s="36" t="str">
        <x:v>validacao/tributacao/validar_estruturados_independente.py</x:v>
      </x:c>
      <x:c r="AF59" s="40" t="str"/>
      <x:c r="AG59" s="41"/>
      <x:c r="AH59" s="40" t="str"/>
    </x:row>
    <x:row r="60" ht="39.599998474121094" hidden="0" customHeight="1">
      <x:c r="A60" s="36" t="str">
        <x:v>coe_180_dias</x:v>
      </x:c>
      <x:c r="B60" s="36" t="str">
        <x:v>estruturados</x:v>
      </x:c>
      <x:c r="C60" s="36" t="str">
        <x:v>regressao_implementacao_pendente_revisao</x:v>
      </x:c>
      <x:c r="D60" s="36" t="str">
        <x:v>coe</x:v>
      </x:c>
      <x:c r="E60" s="46" t="str">
        <x:v>VALIDADO_PRIMEIRA_CAMADA</x:v>
      </x:c>
      <x:c r="F60" s="37" t="n">
        <x:v>10000</x:v>
      </x:c>
      <x:c r="G60" s="37" t="n">
        <x:v>11000</x:v>
      </x:c>
      <x:c r="H60" s="37" t="n">
        <x:f>MAX(0,G60-F60)</x:f>
        <x:v>1000</x:v>
      </x:c>
      <x:c r="I60" s="39" t="n">
        <x:v>46023</x:v>
      </x:c>
      <x:c r="J60" s="39" t="n">
        <x:v>46203</x:v>
      </x:c>
      <x:c r="K60" s="36" t="n">
        <x:f>J60-I60</x:f>
        <x:v>180</x:v>
      </x:c>
      <x:c r="L60" s="36" t="str"/>
      <x:c r="M60" s="37" t="n">
        <x:v>225</x:v>
      </x:c>
      <x:c r="N60" s="37" t="n">
        <x:v>10775</x:v>
      </x:c>
      <x:c r="O60" s="38" t="n">
        <x:v>0.225</x:v>
      </x:c>
      <x:c r="P60" s="36" t="str">
        <x:v>exata_para_premissas</x:v>
      </x:c>
      <x:c r="Q60" s="36" t="str">
        <x:v>rf_regressiva_2026</x:v>
      </x:c>
      <x:c r="R60" s="37" t="n">
        <x:v>225</x:v>
      </x:c>
      <x:c r="S60" s="37" t="n">
        <x:v>10775</x:v>
      </x:c>
      <x:c r="T60" s="38" t="n">
        <x:v>0.225</x:v>
      </x:c>
      <x:c r="U60" s="36" t="str">
        <x:v>exata_para_premissas</x:v>
      </x:c>
      <x:c r="V60" s="36" t="str">
        <x:v>rf_regressiva_2026</x:v>
      </x:c>
      <x:c r="W60" s="37" t="n">
        <x:f>IF(OR(E60="NÃO RECALCULADO",E60="FORA_DO_ESCOPO"),"",R60-M60)</x:f>
        <x:v>0</x:v>
      </x:c>
      <x:c r="X60" s="37" t="n">
        <x:f>IF(OR(E60="NÃO RECALCULADO",E60="FORA_DO_ESCOPO"),"",S60-N60)</x:f>
        <x:v>0</x:v>
      </x:c>
      <x:c r="Y60" s="38" t="n">
        <x:f>IF(OR(E60="NÃO RECALCULADO",E60="FORA_DO_ESCOPO"),"",T60-O60)</x:f>
        <x:v>0</x:v>
      </x:c>
      <x:c r="Z60" s="36" t="str">
        <x:f>IF(E60="NÃO RECALCULADO","N/A",IF(E60="FORA_DO_ESCOPO",IF(AND(U60=P60,V60=Q60),"SIM","NÃO"),IF(AND(ABS(W60)&lt;=0.01,ABS(X60)&lt;=0.01,ABS(Y60)&lt;=0.000000001,U60=P60,V60=Q60),"SIM","NÃO")))</x:f>
        <x:v>SIM</x:v>
      </x:c>
      <x:c r="AA60" s="36" t="str"/>
      <x:c r="AB60" s="36" t="str">
        <x:v>COE e debênture comum tratados pela tabela regressiva informada.
IOF aplicado antes do IR quando o prazo é inferior a 30 dias.</x:v>
      </x:c>
      <x:c r="AC60" s="36" t="str">
        <x:v>lei_11033_2004</x:v>
      </x:c>
      <x:c r="AD60" s="42" t="str">
        <x:v>https://www.planalto.gov.br/ccivil_03/_ato2004-2006/2004/lei/l11033compilado.htm</x:v>
      </x:c>
      <x:c r="AE60" s="36" t="str">
        <x:v>validacao/tributacao/validar_estruturados_independente.py</x:v>
      </x:c>
      <x:c r="AF60" s="40" t="str"/>
      <x:c r="AG60" s="41"/>
      <x:c r="AH60" s="40" t="str"/>
    </x:row>
    <x:row r="61" ht="39.599998474121094" hidden="0" customHeight="1">
      <x:c r="A61" s="36" t="str">
        <x:v>coe_29_dias_com_iof</x:v>
      </x:c>
      <x:c r="B61" s="36" t="str">
        <x:v>estruturados</x:v>
      </x:c>
      <x:c r="C61" s="36" t="str">
        <x:v>regressao_implementacao_pendente_revisao</x:v>
      </x:c>
      <x:c r="D61" s="36" t="str">
        <x:v>coe</x:v>
      </x:c>
      <x:c r="E61" s="46" t="str">
        <x:v>VALIDADO_PRIMEIRA_CAMADA</x:v>
      </x:c>
      <x:c r="F61" s="37" t="n">
        <x:v>10000</x:v>
      </x:c>
      <x:c r="G61" s="37" t="n">
        <x:v>11000</x:v>
      </x:c>
      <x:c r="H61" s="37" t="n">
        <x:f>MAX(0,G61-F61)</x:f>
        <x:v>1000</x:v>
      </x:c>
      <x:c r="I61" s="39" t="n">
        <x:v>46023</x:v>
      </x:c>
      <x:c r="J61" s="39" t="n">
        <x:v>46052</x:v>
      </x:c>
      <x:c r="K61" s="36" t="n">
        <x:f>J61-I61</x:f>
        <x:v>29</x:v>
      </x:c>
      <x:c r="L61" s="36" t="str"/>
      <x:c r="M61" s="37" t="n">
        <x:v>248.25</x:v>
      </x:c>
      <x:c r="N61" s="37" t="n">
        <x:v>10751.75</x:v>
      </x:c>
      <x:c r="O61" s="38" t="n">
        <x:v>0.24825</x:v>
      </x:c>
      <x:c r="P61" s="36" t="str">
        <x:v>exata_para_premissas</x:v>
      </x:c>
      <x:c r="Q61" s="36" t="str">
        <x:v>rf_regressiva_2026</x:v>
      </x:c>
      <x:c r="R61" s="37" t="n">
        <x:v>248.25</x:v>
      </x:c>
      <x:c r="S61" s="37" t="n">
        <x:v>10751.75</x:v>
      </x:c>
      <x:c r="T61" s="38" t="n">
        <x:v>0.24825</x:v>
      </x:c>
      <x:c r="U61" s="36" t="str">
        <x:v>exata_para_premissas</x:v>
      </x:c>
      <x:c r="V61" s="36" t="str">
        <x:v>rf_regressiva_2026</x:v>
      </x:c>
      <x:c r="W61" s="37" t="n">
        <x:f>IF(OR(E61="NÃO RECALCULADO",E61="FORA_DO_ESCOPO"),"",R61-M61)</x:f>
        <x:v>0</x:v>
      </x:c>
      <x:c r="X61" s="37" t="n">
        <x:f>IF(OR(E61="NÃO RECALCULADO",E61="FORA_DO_ESCOPO"),"",S61-N61)</x:f>
        <x:v>0</x:v>
      </x:c>
      <x:c r="Y61" s="38" t="n">
        <x:f>IF(OR(E61="NÃO RECALCULADO",E61="FORA_DO_ESCOPO"),"",T61-O61)</x:f>
        <x:v>0</x:v>
      </x:c>
      <x:c r="Z61" s="36" t="str">
        <x:f>IF(E61="NÃO RECALCULADO","N/A",IF(E61="FORA_DO_ESCOPO",IF(AND(U61=P61,V61=Q61),"SIM","NÃO"),IF(AND(ABS(W61)&lt;=0.01,ABS(X61)&lt;=0.01,ABS(Y61)&lt;=0.000000001,U61=P61,V61=Q61),"SIM","NÃO")))</x:f>
        <x:v>SIM</x:v>
      </x:c>
      <x:c r="AA61" s="36" t="str"/>
      <x:c r="AB61" s="36" t="str">
        <x:v>COE e debênture comum tratados pela tabela regressiva informada.
IOF aplicado antes do IR quando o prazo é inferior a 30 dias.</x:v>
      </x:c>
      <x:c r="AC61" s="36" t="str">
        <x:v>receita_tabelas_2026; decreto_iof_6306_2007</x:v>
      </x:c>
      <x:c r="AD61" s="42" t="str">
        <x:v>https://www.gov.br/receitafederal/pt-br/assuntos/meu-imposto-de-renda/tabelas/2026
https://www.planalto.gov.br/ccivil_03/_ato2007-2010/2007/decreto/d6306.htm</x:v>
      </x:c>
      <x:c r="AE61" s="36" t="str">
        <x:v>validacao/tributacao/validar_estruturados_independente.py</x:v>
      </x:c>
      <x:c r="AF61" s="40" t="str"/>
      <x:c r="AG61" s="41"/>
      <x:c r="AH61" s="40" t="str"/>
    </x:row>
    <x:row r="62" ht="26.399999618530273" hidden="0" customHeight="1">
      <x:c r="A62" s="36" t="str">
        <x:v>cra_pessoa_juridica_nao_isenta</x:v>
      </x:c>
      <x:c r="B62" s="36" t="str">
        <x:v>estruturados</x:v>
      </x:c>
      <x:c r="C62" s="36" t="str">
        <x:v>regressao_implementacao_pendente_revisao</x:v>
      </x:c>
      <x:c r="D62" s="36" t="str">
        <x:v>cra</x:v>
      </x:c>
      <x:c r="E62" s="49" t="str">
        <x:v>FORA_DO_ESCOPO</x:v>
      </x:c>
      <x:c r="F62" s="37" t="n">
        <x:v>10000</x:v>
      </x:c>
      <x:c r="G62" s="37" t="n">
        <x:v>11000</x:v>
      </x:c>
      <x:c r="H62" s="37" t="n">
        <x:f>MAX(0,G62-F62)</x:f>
        <x:v>1000</x:v>
      </x:c>
      <x:c r="I62" s="39" t="n">
        <x:v>46023</x:v>
      </x:c>
      <x:c r="J62" s="39" t="n">
        <x:v>46744</x:v>
      </x:c>
      <x:c r="K62" s="36" t="n">
        <x:f>J62-I62</x:f>
        <x:v>721</x:v>
      </x:c>
      <x:c r="L62" s="36" t="str">
        <x:v>{"pessoa_fisica":false}</x:v>
      </x:c>
      <x:c r="M62" s="37"/>
      <x:c r="N62" s="37"/>
      <x:c r="O62" s="38"/>
      <x:c r="P62" s="36" t="str">
        <x:v>indeterminada</x:v>
      </x:c>
      <x:c r="Q62" s="36" t="str">
        <x:v>pessoa_juridica_fora_escopo</x:v>
      </x:c>
      <x:c r="R62" s="37"/>
      <x:c r="S62" s="37"/>
      <x:c r="T62" s="38"/>
      <x:c r="U62" s="36" t="str">
        <x:v>indeterminada</x:v>
      </x:c>
      <x:c r="V62" s="36" t="str">
        <x:v>pessoa_juridica_fora_escopo</x:v>
      </x:c>
      <x:c r="W62" s="37" t="str">
        <x:f>IF(OR(E62="NÃO RECALCULADO",E62="FORA_DO_ESCOPO"),"",R62-M62)</x:f>
      </x:c>
      <x:c r="X62" s="37" t="str">
        <x:f>IF(OR(E62="NÃO RECALCULADO",E62="FORA_DO_ESCOPO"),"",S62-N62)</x:f>
      </x:c>
      <x:c r="Y62" s="38" t="str">
        <x:f>IF(OR(E62="NÃO RECALCULADO",E62="FORA_DO_ESCOPO"),"",T62-O62)</x:f>
      </x:c>
      <x:c r="Z62" s="36" t="str">
        <x:f>IF(E62="NÃO RECALCULADO","N/A",IF(E62="FORA_DO_ESCOPO",IF(AND(U62=P62,V62=Q62),"SIM","NÃO"),IF(AND(ABS(W62)&lt;=0.01,ABS(X62)&lt;=0.01,ABS(Y62)&lt;=0.000000001,U62=P62,V62=Q62),"SIM","NÃO")))</x:f>
        <x:v>SIM</x:v>
      </x:c>
      <x:c r="AA62" s="36" t="str">
        <x:v>A tributação da pessoa jurídica está fora do escopo.</x:v>
      </x:c>
      <x:c r="AB62" s="36" t="str"/>
      <x:c r="AC62" s="36" t="str">
        <x:v>lei_11033_2004</x:v>
      </x:c>
      <x:c r="AD62" s="42" t="str">
        <x:v>https://www.planalto.gov.br/ccivil_03/_ato2004-2006/2004/lei/l11033compilado.htm</x:v>
      </x:c>
      <x:c r="AE62" s="36" t="str">
        <x:v>validacao/tributacao/validar_estruturados_independente.py</x:v>
      </x:c>
      <x:c r="AF62" s="40" t="str"/>
      <x:c r="AG62" s="41"/>
      <x:c r="AH62" s="40" t="str"/>
    </x:row>
    <x:row r="63" ht="26.399999618530273" hidden="0" customHeight="1">
      <x:c r="A63" s="36" t="str">
        <x:v>cri_sem_confirmacao_de_elegibilidade</x:v>
      </x:c>
      <x:c r="B63" s="36" t="str">
        <x:v>estruturados</x:v>
      </x:c>
      <x:c r="C63" s="36" t="str">
        <x:v>validacao_conservadora_por_dado_ausente</x:v>
      </x:c>
      <x:c r="D63" s="36" t="str">
        <x:v>cri</x:v>
      </x:c>
      <x:c r="E63" s="49" t="str">
        <x:v>PENDENTE_PREMISSA</x:v>
      </x:c>
      <x:c r="F63" s="37" t="n">
        <x:v>10000</x:v>
      </x:c>
      <x:c r="G63" s="37" t="n">
        <x:v>11000</x:v>
      </x:c>
      <x:c r="H63" s="37" t="n">
        <x:f>MAX(0,G63-F63)</x:f>
        <x:v>1000</x:v>
      </x:c>
      <x:c r="I63" s="39" t="n">
        <x:v>46023</x:v>
      </x:c>
      <x:c r="J63" s="39" t="n">
        <x:v>46744</x:v>
      </x:c>
      <x:c r="K63" s="36" t="n">
        <x:f>J63-I63</x:f>
        <x:v>721</x:v>
      </x:c>
      <x:c r="L63" s="36" t="str">
        <x:v>{"pessoa_fisica":true}</x:v>
      </x:c>
      <x:c r="M63" s="37"/>
      <x:c r="N63" s="37"/>
      <x:c r="O63" s="38"/>
      <x:c r="P63" s="36" t="str">
        <x:v>indeterminada</x:v>
      </x:c>
      <x:c r="Q63" s="36" t="str">
        <x:v>rf_isencao_elegibilidade_indeterminada</x:v>
      </x:c>
      <x:c r="R63" s="37"/>
      <x:c r="S63" s="37"/>
      <x:c r="T63" s="38"/>
      <x:c r="U63" s="36" t="str">
        <x:v>indeterminada</x:v>
      </x:c>
      <x:c r="V63" s="36" t="str">
        <x:v>rf_isencao_elegibilidade_indeterminada</x:v>
      </x:c>
      <x:c r="W63" s="37" t="n">
        <x:f>IF(OR(E63="NÃO RECALCULADO",E63="FORA_DO_ESCOPO"),"",R63-M63)</x:f>
        <x:v>0</x:v>
      </x:c>
      <x:c r="X63" s="37" t="n">
        <x:f>IF(OR(E63="NÃO RECALCULADO",E63="FORA_DO_ESCOPO"),"",S63-N63)</x:f>
        <x:v>0</x:v>
      </x:c>
      <x:c r="Y63" s="38" t="n">
        <x:f>IF(OR(E63="NÃO RECALCULADO",E63="FORA_DO_ESCOPO"),"",T63-O63)</x:f>
        <x:v>0</x:v>
      </x:c>
      <x:c r="Z63" s="36" t="str">
        <x:f>IF(E63="NÃO RECALCULADO","N/A",IF(E63="FORA_DO_ESCOPO",IF(AND(U63=P63,V63=Q63),"SIM","NÃO"),IF(AND(ABS(W63)&lt;=0.01,ABS(X63)&lt;=0.01,ABS(Y63)&lt;=0.000000001,U63=P63,V63=Q63),"SIM","NÃO")))</x:f>
        <x:v>SIM</x:v>
      </x:c>
      <x:c r="AA63" s="36" t="str">
        <x:v>A elegibilidade legal do instrumento não foi confirmada.</x:v>
      </x:c>
      <x:c r="AB63" s="36" t="str"/>
      <x:c r="AC63" s="36" t="str">
        <x:v>lei_11033_2004</x:v>
      </x:c>
      <x:c r="AD63" s="42" t="str">
        <x:v>https://www.planalto.gov.br/ccivil_03/_ato2004-2006/2004/lei/l11033compilado.htm</x:v>
      </x:c>
      <x:c r="AE63" s="36" t="str">
        <x:v>validacao/tributacao/validar_estruturados_independente.py</x:v>
      </x:c>
      <x:c r="AF63" s="40" t="str"/>
      <x:c r="AG63" s="41"/>
      <x:c r="AH63" s="40" t="str"/>
    </x:row>
    <x:row r="64" ht="26.399999618530273" hidden="0" customHeight="1">
      <x:c r="A64" s="36" t="str">
        <x:v>estruturado_generico_indeterminado</x:v>
      </x:c>
      <x:c r="B64" s="36" t="str">
        <x:v>estruturados</x:v>
      </x:c>
      <x:c r="C64" s="36" t="str">
        <x:v>validacao_de_indeterminacao</x:v>
      </x:c>
      <x:c r="D64" s="36" t="str">
        <x:v>estruturado</x:v>
      </x:c>
      <x:c r="E64" s="49" t="str">
        <x:v>PENDENTE_PREMISSA</x:v>
      </x:c>
      <x:c r="F64" s="37" t="n">
        <x:v>10000</x:v>
      </x:c>
      <x:c r="G64" s="37" t="n">
        <x:v>11000</x:v>
      </x:c>
      <x:c r="H64" s="37" t="n">
        <x:f>MAX(0,G64-F64)</x:f>
        <x:v>1000</x:v>
      </x:c>
      <x:c r="I64" s="39" t="n">
        <x:v>46023</x:v>
      </x:c>
      <x:c r="J64" s="39" t="n">
        <x:v>46744</x:v>
      </x:c>
      <x:c r="K64" s="36" t="n">
        <x:f>J64-I64</x:f>
        <x:v>721</x:v>
      </x:c>
      <x:c r="L64" s="36" t="str"/>
      <x:c r="M64" s="37"/>
      <x:c r="N64" s="37"/>
      <x:c r="O64" s="38"/>
      <x:c r="P64" s="36" t="str">
        <x:v>indeterminada</x:v>
      </x:c>
      <x:c r="Q64" s="36" t="str">
        <x:v>estruturado_subtipo_indeterminado</x:v>
      </x:c>
      <x:c r="R64" s="37"/>
      <x:c r="S64" s="37"/>
      <x:c r="T64" s="38"/>
      <x:c r="U64" s="36" t="str">
        <x:v>indeterminada</x:v>
      </x:c>
      <x:c r="V64" s="36" t="str">
        <x:v>estruturado_subtipo_indeterminado</x:v>
      </x:c>
      <x:c r="W64" s="37" t="n">
        <x:f>IF(OR(E64="NÃO RECALCULADO",E64="FORA_DO_ESCOPO"),"",R64-M64)</x:f>
        <x:v>0</x:v>
      </x:c>
      <x:c r="X64" s="37" t="n">
        <x:f>IF(OR(E64="NÃO RECALCULADO",E64="FORA_DO_ESCOPO"),"",S64-N64)</x:f>
        <x:v>0</x:v>
      </x:c>
      <x:c r="Y64" s="38" t="n">
        <x:f>IF(OR(E64="NÃO RECALCULADO",E64="FORA_DO_ESCOPO"),"",T64-O64)</x:f>
        <x:v>0</x:v>
      </x:c>
      <x:c r="Z64" s="36" t="str">
        <x:f>IF(E64="NÃO RECALCULADO","N/A",IF(E64="FORA_DO_ESCOPO",IF(AND(U64=P64,V64=Q64),"SIM","NÃO"),IF(AND(ABS(W64)&lt;=0.01,ABS(X64)&lt;=0.01,ABS(Y64)&lt;=0.000000001,U64=P64,V64=Q64),"SIM","NÃO")))</x:f>
        <x:v>SIM</x:v>
      </x:c>
      <x:c r="AA64" s="36" t="str">
        <x:v>O subtipo do produto estruturado não foi informado.</x:v>
      </x:c>
      <x:c r="AB64" s="36" t="str"/>
      <x:c r="AC64" s="36" t="str">
        <x:v>receita_tabelas_2026</x:v>
      </x:c>
      <x:c r="AD64" s="42" t="str">
        <x:v>https://www.gov.br/receitafederal/pt-br/assuntos/meu-imposto-de-renda/tabelas/2026</x:v>
      </x:c>
      <x:c r="AE64" s="36" t="str">
        <x:v>validacao/tributacao/validar_estruturados_independente.py</x:v>
      </x:c>
      <x:c r="AF64" s="40" t="str"/>
      <x:c r="AG64" s="41"/>
      <x:c r="AH64" s="40" t="str"/>
    </x:row>
  </x:sheetData>
  <x:pageMargins left="0.7" right="0.7" top="0.75" bottom="0.75" header="0.3" footer="0.3"/>
  <x:tableParts count="1">
    <x:tablePart xmlns:r="http://schemas.openxmlformats.org/officeDocument/2006/relationships" r:id="Rd980fa27d33c447a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34" hidden="0" customWidth="1"/>
    <x:col min="3" max="3" width="80" hidden="0" customWidth="1"/>
    <x:col min="4" max="4" width="16" hidden="0" customWidth="1"/>
    <x:col min="5" max="5" width="48" hidden="0" customWidth="1"/>
    <x:col min="6" max="6" width="42" hidden="0" customWidth="1"/>
  </x:cols>
  <x:sheetData>
    <x:row r="1" ht="32" customHeight="1">
      <x:c r="A1" s="3" t="str">
        <x:v>Fontes oficiais</x:v>
      </x:c>
      <x:c r="B1" s="3" t="str">
        <x:v>Fontes oficiais</x:v>
      </x:c>
      <x:c r="C1" s="3" t="str">
        <x:v>Fontes oficiais</x:v>
      </x:c>
      <x:c r="D1" s="3" t="str">
        <x:v>Fontes oficiais</x:v>
      </x:c>
      <x:c r="E1" s="3" t="str">
        <x:v>Fontes oficiais</x:v>
      </x:c>
      <x:c r="F1" s="3" t="str">
        <x:v>Fontes oficiais</x:v>
      </x:c>
    </x:row>
    <x:row r="2" ht="32" customHeight="1">
      <x:c r="A2" s="3" t="str">
        <x:v>Fontes oficiais</x:v>
      </x:c>
      <x:c r="B2" s="3" t="str">
        <x:v>Fontes oficiais</x:v>
      </x:c>
      <x:c r="C2" s="3" t="str">
        <x:v>Fontes oficiais</x:v>
      </x:c>
      <x:c r="D2" s="3" t="str">
        <x:v>Fontes oficiais</x:v>
      </x:c>
      <x:c r="E2" s="3" t="str">
        <x:v>Fontes oficiais</x:v>
      </x:c>
      <x:c r="F2" s="3" t="str">
        <x:v>Fontes oficiais</x:v>
      </x:c>
    </x:row>
    <x:row r="4" ht="15" hidden="0" customHeight="1">
      <x:c r="A4" s="52" t="str">
        <x:v>Categoria</x:v>
      </x:c>
      <x:c r="B4" s="52" t="str">
        <x:v>Fonte ID</x:v>
      </x:c>
      <x:c r="C4" s="52" t="str">
        <x:v>URL</x:v>
      </x:c>
      <x:c r="D4" s="52" t="str">
        <x:v>Acessado em</x:v>
      </x:c>
      <x:c r="E4" s="52" t="str">
        <x:v>Uso</x:v>
      </x:c>
      <x:c r="F4" s="52" t="str">
        <x:v>Status documental</x:v>
      </x:c>
    </x:row>
    <x:row r="5" ht="15" hidden="0" customHeight="1">
      <x:c r="A5" s="52" t="str">
        <x:v>cripto</x:v>
      </x:c>
      <x:c r="B5" s="52" t="str">
        <x:v>receita_ganho_capital</x:v>
      </x:c>
      <x:c r="C5" s="53" t="str">
        <x:v>https://www.gov.br/receitafederal/pt-br/assuntos/meu-imposto-de-renda/pagamento/ganhos-de-capital</x:v>
      </x:c>
      <x:c r="D5" s="54" t="n">
        <x:v>46234</x:v>
      </x:c>
      <x:c r="E5" s="52" t="str">
        <x:v>Fonte oficial declarada na fixture e no cálculo independente</x:v>
      </x:c>
      <x:c r="F5" s="52" t="str">
        <x:v>Revisão humana de vigência ainda necessária</x:v>
      </x:c>
    </x:row>
    <x:row r="6" ht="26.399999618530273" hidden="0" customHeight="1">
      <x:c r="A6" s="52" t="str">
        <x:v>cripto</x:v>
      </x:c>
      <x:c r="B6" s="52" t="str">
        <x:v>receita_criptoativos</x:v>
      </x:c>
      <x:c r="C6" s="53" t="str">
        <x:v>https://www.gov.br/receitafederal/pt-br/assuntos/orientacao-tributaria/declaracoes-e-demonstrativos/criptoativos</x:v>
      </x:c>
      <x:c r="D6" s="54" t="n">
        <x:v>46234</x:v>
      </x:c>
      <x:c r="E6" s="52" t="str">
        <x:v>Fonte oficial declarada na fixture e no cálculo independente</x:v>
      </x:c>
      <x:c r="F6" s="52" t="str">
        <x:v>Revisão humana de vigência ainda necessária</x:v>
      </x:c>
    </x:row>
    <x:row r="7" ht="15" hidden="0" customHeight="1">
      <x:c r="A7" s="52" t="str">
        <x:v>cripto</x:v>
      </x:c>
      <x:c r="B7" s="52" t="str">
        <x:v>receita_decripto</x:v>
      </x:c>
      <x:c r="C7" s="53" t="str">
        <x:v>https://www.gov.br/pt-br/servicos/declarar-operacoes-com-criptoativos</x:v>
      </x:c>
      <x:c r="D7" s="54" t="n">
        <x:v>46234</x:v>
      </x:c>
      <x:c r="E7" s="52" t="str">
        <x:v>Fonte oficial declarada na fixture e no cálculo independente</x:v>
      </x:c>
      <x:c r="F7" s="52" t="str">
        <x:v>Revisão humana de vigência ainda necessária</x:v>
      </x:c>
    </x:row>
    <x:row r="8" ht="15" hidden="0" customHeight="1">
      <x:c r="A8" s="52" t="str">
        <x:v>cripto</x:v>
      </x:c>
      <x:c r="B8" s="52" t="str">
        <x:v>lei_13259_2016</x:v>
      </x:c>
      <x:c r="C8" s="53" t="str">
        <x:v>https://www.planalto.gov.br/ccivil_03/_ato2015-2018/2016/lei/l13259.htm</x:v>
      </x:c>
      <x:c r="D8" s="54" t="n">
        <x:v>46234</x:v>
      </x:c>
      <x:c r="E8" s="52" t="str">
        <x:v>Fonte oficial declarada na fixture e no cálculo independente</x:v>
      </x:c>
      <x:c r="F8" s="52" t="str">
        <x:v>Revisão humana de vigência ainda necessária</x:v>
      </x:c>
    </x:row>
    <x:row r="9" ht="15" hidden="0" customHeight="1">
      <x:c r="A9" s="52" t="str">
        <x:v>cripto</x:v>
      </x:c>
      <x:c r="B9" s="52" t="str">
        <x:v>lei_14754_2023</x:v>
      </x:c>
      <x:c r="C9" s="53" t="str">
        <x:v>https://www.planalto.gov.br/ccivil_03/_ato2023-2026/2023/lei/l14754.htm</x:v>
      </x:c>
      <x:c r="D9" s="54" t="n">
        <x:v>46234</x:v>
      </x:c>
      <x:c r="E9" s="52" t="str">
        <x:v>Fonte oficial declarada na fixture e no cálculo independente</x:v>
      </x:c>
      <x:c r="F9" s="52" t="str">
        <x:v>Revisão humana de vigência ainda necessária</x:v>
      </x:c>
    </x:row>
    <x:row r="10" ht="15" hidden="0" customHeight="1">
      <x:c r="A10" s="52" t="str">
        <x:v>cripto</x:v>
      </x:c>
      <x:c r="B10" s="52" t="str">
        <x:v>in_rfb_2180_2024</x:v>
      </x:c>
      <x:c r="C10" s="53" t="str">
        <x:v>https://normas.receita.fazenda.gov.br/sijut2consulta/link.action?idAto=136603</x:v>
      </x:c>
      <x:c r="D10" s="54" t="n">
        <x:v>46234</x:v>
      </x:c>
      <x:c r="E10" s="52" t="str">
        <x:v>Fonte oficial declarada na fixture e no cálculo independente</x:v>
      </x:c>
      <x:c r="F10" s="52" t="str">
        <x:v>Revisão humana de vigência ainda necessária</x:v>
      </x:c>
    </x:row>
    <x:row r="11" ht="26.399999618530273" hidden="0" customHeight="1">
      <x:c r="A11" s="52" t="str">
        <x:v>cripto</x:v>
      </x:c>
      <x:c r="B11" s="52" t="str">
        <x:v>manual_mir_eventos_patrimonio</x:v>
      </x:c>
      <x:c r="C11" s="53" t="str">
        <x:v>https://www.gov.br/receitafederal/pt-br/assuntos/meu-imposto-de-renda/preenchimento/manual-mir/patrimonio/eventos-do-patrimonio</x:v>
      </x:c>
      <x:c r="D11" s="54" t="n">
        <x:v>46234</x:v>
      </x:c>
      <x:c r="E11" s="52" t="str">
        <x:v>Fonte oficial declarada na fixture e no cálculo independente</x:v>
      </x:c>
      <x:c r="F11" s="52" t="str">
        <x:v>Revisão humana de vigência ainda necessária</x:v>
      </x:c>
    </x:row>
    <x:row r="12" ht="15" hidden="0" customHeight="1">
      <x:c r="A12" s="52" t="str">
        <x:v>renda_fixa</x:v>
      </x:c>
      <x:c r="B12" s="52" t="str">
        <x:v>receita_tabelas_2026</x:v>
      </x:c>
      <x:c r="C12" s="53" t="str">
        <x:v>https://www.gov.br/receitafederal/pt-br/assuntos/meu-imposto-de-renda/tabelas/2026</x:v>
      </x:c>
      <x:c r="D12" s="54" t="n">
        <x:v>46234</x:v>
      </x:c>
      <x:c r="E12" s="52" t="str">
        <x:v>Fonte oficial declarada na fixture e no cálculo independente</x:v>
      </x:c>
      <x:c r="F12" s="52" t="str">
        <x:v>Revisão humana de vigência ainda necessária</x:v>
      </x:c>
    </x:row>
    <x:row r="13" ht="15" hidden="0" customHeight="1">
      <x:c r="A13" s="52" t="str">
        <x:v>renda_fixa</x:v>
      </x:c>
      <x:c r="B13" s="52" t="str">
        <x:v>lei_11033_2004</x:v>
      </x:c>
      <x:c r="C13" s="53" t="str">
        <x:v>https://www.planalto.gov.br/ccivil_03/_ato2004-2006/2004/lei/l11033compilado.htm</x:v>
      </x:c>
      <x:c r="D13" s="54" t="n">
        <x:v>46238</x:v>
      </x:c>
      <x:c r="E13" s="52" t="str">
        <x:v>Fonte oficial declarada na fixture e no cálculo independente</x:v>
      </x:c>
      <x:c r="F13" s="52" t="str">
        <x:v>Revisão humana de vigência ainda necessária</x:v>
      </x:c>
    </x:row>
    <x:row r="14" ht="15" hidden="0" customHeight="1">
      <x:c r="A14" s="52" t="str">
        <x:v>renda_fixa</x:v>
      </x:c>
      <x:c r="B14" s="52" t="str">
        <x:v>decreto_iof_6306_2007</x:v>
      </x:c>
      <x:c r="C14" s="53" t="str">
        <x:v>https://www.planalto.gov.br/ccivil_03/_ato2007-2010/2007/decreto/d6306.htm</x:v>
      </x:c>
      <x:c r="D14" s="54" t="n">
        <x:v>46238</x:v>
      </x:c>
      <x:c r="E14" s="52" t="str">
        <x:v>Fonte oficial declarada na fixture e no cálculo independente</x:v>
      </x:c>
      <x:c r="F14" s="52" t="str">
        <x:v>Revisão humana de vigência ainda necessária</x:v>
      </x:c>
    </x:row>
    <x:row r="15" ht="15" hidden="0" customHeight="1">
      <x:c r="A15" s="52" t="str">
        <x:v>fundos</x:v>
      </x:c>
      <x:c r="B15" s="52" t="str">
        <x:v>receita_tabelas_2026</x:v>
      </x:c>
      <x:c r="C15" s="53" t="str">
        <x:v>https://www.gov.br/receitafederal/pt-br/assuntos/meu-imposto-de-renda/tabelas/2026</x:v>
      </x:c>
      <x:c r="D15" s="54" t="n">
        <x:v>46234</x:v>
      </x:c>
      <x:c r="E15" s="52" t="str">
        <x:v>Fonte oficial declarada na fixture e no cálculo independente</x:v>
      </x:c>
      <x:c r="F15" s="52" t="str">
        <x:v>Revisão humana de vigência ainda necessária</x:v>
      </x:c>
    </x:row>
    <x:row r="16" ht="26.399999618530273" hidden="0" customHeight="1">
      <x:c r="A16" s="52" t="str">
        <x:v>fundos</x:v>
      </x:c>
      <x:c r="B16" s="52" t="str">
        <x:v>receita_fundos</x:v>
      </x:c>
      <x:c r="C16" s="53" t="str">
        <x:v>https://www.gov.br/receitafederal/pt-br/assuntos/meu-imposto-de-renda/pagamento/renda-variavel/fundos-de-investimento-no-brasil</x:v>
      </x:c>
      <x:c r="D16" s="54" t="n">
        <x:v>46234</x:v>
      </x:c>
      <x:c r="E16" s="52" t="str">
        <x:v>Fonte oficial declarada na fixture e no cálculo independente</x:v>
      </x:c>
      <x:c r="F16" s="52" t="str">
        <x:v>Revisão humana de vigência ainda necessária</x:v>
      </x:c>
    </x:row>
    <x:row r="17" ht="26.399999618530273" hidden="0" customHeight="1">
      <x:c r="A17" s="52" t="str">
        <x:v>previdencia</x:v>
      </x:c>
      <x:c r="B17" s="52" t="str">
        <x:v>receita_pgbl_vgbl</x:v>
      </x:c>
      <x:c r="C17" s="53" t="str">
        <x:v>https://www.gov.br/receitafederal/pt-br/acesso-a-informacao/perguntas-frequentes/imposto-de-renda/dirpf/declaracao/pgvl-vgbl</x:v>
      </x:c>
      <x:c r="D17" s="54" t="n">
        <x:v>46234</x:v>
      </x:c>
      <x:c r="E17" s="52" t="str">
        <x:v>Fonte oficial declarada na fixture e no cálculo independente</x:v>
      </x:c>
      <x:c r="F17" s="52" t="str">
        <x:v>Revisão humana de vigência ainda necessária</x:v>
      </x:c>
    </x:row>
    <x:row r="18" ht="26.399999618530273" hidden="0" customHeight="1">
      <x:c r="A18" s="52" t="str">
        <x:v>previdencia</x:v>
      </x:c>
      <x:c r="B18" s="52" t="str">
        <x:v>previdencia_faq</x:v>
      </x:c>
      <x:c r="C18" s="53" t="str">
        <x:v>https://www.gov.br/previdencia/pt-br/assuntos/previdencia-complementar/mais-informacoes/perguntas-frequentes-de-previdencia-complementar</x:v>
      </x:c>
      <x:c r="D18" s="54" t="n">
        <x:v>46234</x:v>
      </x:c>
      <x:c r="E18" s="52" t="str">
        <x:v>Fonte oficial declarada na fixture e no cálculo independente</x:v>
      </x:c>
      <x:c r="F18" s="52" t="str">
        <x:v>Revisão humana de vigência ainda necessária</x:v>
      </x:c>
    </x:row>
    <x:row r="19" ht="15" hidden="0" customHeight="1">
      <x:c r="A19" s="52" t="str">
        <x:v>previdencia</x:v>
      </x:c>
      <x:c r="B19" s="52" t="str">
        <x:v>receita_tabelas_2026</x:v>
      </x:c>
      <x:c r="C19" s="53" t="str">
        <x:v>https://www.gov.br/receitafederal/pt-br/assuntos/meu-imposto-de-renda/tabelas/2026</x:v>
      </x:c>
      <x:c r="D19" s="54" t="n">
        <x:v>46234</x:v>
      </x:c>
      <x:c r="E19" s="52" t="str">
        <x:v>Fonte oficial declarada na fixture e no cálculo independente</x:v>
      </x:c>
      <x:c r="F19" s="52" t="str">
        <x:v>Revisão humana de vigência ainda necessária</x:v>
      </x:c>
    </x:row>
    <x:row r="20" ht="26.399999618530273" hidden="0" customHeight="1">
      <x:c r="A20" s="52" t="str">
        <x:v>renda_variavel</x:v>
      </x:c>
      <x:c r="B20" s="52" t="str">
        <x:v>receita_bolsa</x:v>
      </x:c>
      <x:c r="C20" s="53" t="str">
        <x:v>https://www.gov.br/receitafederal/pt-br/assuntos/meu-imposto-de-renda/pagamento/renda-variavel/bolsa-de-valores-1</x:v>
      </x:c>
      <x:c r="D20" s="54" t="n">
        <x:v>46234</x:v>
      </x:c>
      <x:c r="E20" s="52" t="str">
        <x:v>Fonte oficial declarada na fixture e no cálculo independente</x:v>
      </x:c>
      <x:c r="F20" s="52" t="str">
        <x:v>Revisão humana de vigência ainda necessária</x:v>
      </x:c>
    </x:row>
    <x:row r="21" ht="26.399999618530273" hidden="0" customHeight="1">
      <x:c r="A21" s="52" t="str">
        <x:v>renda_variavel</x:v>
      </x:c>
      <x:c r="B21" s="52" t="str">
        <x:v>receita_isencoes</x:v>
      </x:c>
      <x:c r="C21" s="53" t="str">
        <x:v>https://www.gov.br/receitafederal/pt-br/assuntos/meu-imposto-de-renda/pagamento/renda-variavel/bolsa-de-valores-1/isencoes</x:v>
      </x:c>
      <x:c r="D21" s="54" t="n">
        <x:v>46234</x:v>
      </x:c>
      <x:c r="E21" s="52" t="str">
        <x:v>Fonte oficial declarada na fixture e no cálculo independente</x:v>
      </x:c>
      <x:c r="F21" s="52" t="str">
        <x:v>Revisão humana de vigência ainda necessária</x:v>
      </x:c>
    </x:row>
    <x:row r="22" ht="15" hidden="0" customHeight="1">
      <x:c r="A22" s="52" t="str">
        <x:v>renda_variavel</x:v>
      </x:c>
      <x:c r="B22" s="52" t="str">
        <x:v>receita_revar</x:v>
      </x:c>
      <x:c r="C22" s="53" t="str">
        <x:v>https://www.gov.br/pt-br/servicos/apurar-imposto-sobre-renda-variavel</x:v>
      </x:c>
      <x:c r="D22" s="54" t="n">
        <x:v>46234</x:v>
      </x:c>
      <x:c r="E22" s="52" t="str">
        <x:v>Fonte oficial declarada na fixture e no cálculo independente</x:v>
      </x:c>
      <x:c r="F22" s="52" t="str">
        <x:v>Revisão humana de vigência ainda necessária</x:v>
      </x:c>
    </x:row>
    <x:row r="23" ht="15" hidden="0" customHeight="1">
      <x:c r="A23" s="52" t="str">
        <x:v>estruturados</x:v>
      </x:c>
      <x:c r="B23" s="52" t="str">
        <x:v>receita_tabelas_2026</x:v>
      </x:c>
      <x:c r="C23" s="53" t="str">
        <x:v>https://www.gov.br/receitafederal/pt-br/assuntos/meu-imposto-de-renda/tabelas/2026</x:v>
      </x:c>
      <x:c r="D23" s="54" t="n">
        <x:v>46234</x:v>
      </x:c>
      <x:c r="E23" s="52" t="str">
        <x:v>Fonte oficial declarada na fixture e no cálculo independente</x:v>
      </x:c>
      <x:c r="F23" s="52" t="str">
        <x:v>Revisão humana de vigência ainda necessária</x:v>
      </x:c>
    </x:row>
    <x:row r="24" ht="15" hidden="0" customHeight="1">
      <x:c r="A24" s="52" t="str">
        <x:v>estruturados</x:v>
      </x:c>
      <x:c r="B24" s="52" t="str">
        <x:v>lei_11033_2004</x:v>
      </x:c>
      <x:c r="C24" s="53" t="str">
        <x:v>https://www.planalto.gov.br/ccivil_03/_ato2004-2006/2004/lei/l11033compilado.htm</x:v>
      </x:c>
      <x:c r="D24" s="54" t="n">
        <x:v>46238</x:v>
      </x:c>
      <x:c r="E24" s="52" t="str">
        <x:v>Fonte oficial declarada na fixture e no cálculo independente</x:v>
      </x:c>
      <x:c r="F24" s="52" t="str">
        <x:v>Revisão humana de vigência ainda necessária</x:v>
      </x:c>
    </x:row>
    <x:row r="25" ht="15" hidden="0" customHeight="1">
      <x:c r="A25" s="52" t="str">
        <x:v>estruturados</x:v>
      </x:c>
      <x:c r="B25" s="52" t="str">
        <x:v>lei_12431_2011</x:v>
      </x:c>
      <x:c r="C25" s="53" t="str">
        <x:v>https://www.planalto.gov.br/ccivil_03/_ato2011-2014/2011/lei/l12431.htm</x:v>
      </x:c>
      <x:c r="D25" s="54" t="n">
        <x:v>46238</x:v>
      </x:c>
      <x:c r="E25" s="52" t="str">
        <x:v>Fonte oficial declarada na fixture e no cálculo independente</x:v>
      </x:c>
      <x:c r="F25" s="52" t="str">
        <x:v>Revisão humana de vigência ainda necessária</x:v>
      </x:c>
    </x:row>
    <x:row r="26" ht="15" hidden="0" customHeight="1">
      <x:c r="A26" s="52" t="str">
        <x:v>estruturados</x:v>
      </x:c>
      <x:c r="B26" s="52" t="str">
        <x:v>decreto_iof_6306_2007</x:v>
      </x:c>
      <x:c r="C26" s="53" t="str">
        <x:v>https://www.planalto.gov.br/ccivil_03/_ato2007-2010/2007/decreto/d6306.htm</x:v>
      </x:c>
      <x:c r="D26" s="54" t="n">
        <x:v>46238</x:v>
      </x:c>
      <x:c r="E26" s="52" t="str">
        <x:v>Fonte oficial declarada na fixture e no cálculo independente</x:v>
      </x:c>
      <x:c r="F26" s="52" t="str">
        <x:v>Revisão humana de vigência ainda necessária</x:v>
      </x:c>
    </x:row>
  </x:sheetData>
  <x:mergeCells>
    <x:mergeCell ref="A1:F2"/>
  </x:mergeCells>
  <x:pageMargins left="0.7" right="0.7" top="0.75" bottom="0.75" header="0.3" footer="0.3"/>
  <x:tableParts count="1">
    <x:tablePart xmlns:r="http://schemas.openxmlformats.org/officeDocument/2006/relationships" r:id="R33c0c14c1dcb4ffc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42" hidden="0" customWidth="1"/>
    <x:col min="3" max="3" width="48" hidden="0" customWidth="1"/>
    <x:col min="4" max="4" width="44" hidden="0" customWidth="1"/>
    <x:col min="5" max="5" width="42" hidden="0" customWidth="1"/>
    <x:col min="6" max="6" width="16" hidden="0" customWidth="1"/>
  </x:cols>
  <x:sheetData>
    <x:row r="1" ht="32" customHeight="1">
      <x:c r="A1" s="3" t="str">
        <x:v>Limitações e decisões conservadoras</x:v>
      </x:c>
      <x:c r="B1" s="3" t="str">
        <x:v>Limitações e decisões conservadoras</x:v>
      </x:c>
      <x:c r="C1" s="3" t="str">
        <x:v>Limitações e decisões conservadoras</x:v>
      </x:c>
      <x:c r="D1" s="3" t="str">
        <x:v>Limitações e decisões conservadoras</x:v>
      </x:c>
      <x:c r="E1" s="3" t="str">
        <x:v>Limitações e decisões conservadoras</x:v>
      </x:c>
      <x:c r="F1" s="3" t="str">
        <x:v>Limitações e decisões conservadoras</x:v>
      </x:c>
    </x:row>
    <x:row r="2" ht="32" customHeight="1">
      <x:c r="A2" s="3" t="str">
        <x:v>Limitações e decisões conservadoras</x:v>
      </x:c>
      <x:c r="B2" s="3" t="str">
        <x:v>Limitações e decisões conservadoras</x:v>
      </x:c>
      <x:c r="C2" s="3" t="str">
        <x:v>Limitações e decisões conservadoras</x:v>
      </x:c>
      <x:c r="D2" s="3" t="str">
        <x:v>Limitações e decisões conservadoras</x:v>
      </x:c>
      <x:c r="E2" s="3" t="str">
        <x:v>Limitações e decisões conservadoras</x:v>
      </x:c>
      <x:c r="F2" s="3" t="str">
        <x:v>Limitações e decisões conservadoras</x:v>
      </x:c>
    </x:row>
    <x:row r="4" ht="15" hidden="0" customHeight="1">
      <x:c r="A4" s="52" t="str">
        <x:v>Grupo</x:v>
      </x:c>
      <x:c r="B4" s="52" t="str">
        <x:v>Limitação</x:v>
      </x:c>
      <x:c r="C4" s="52" t="str">
        <x:v>Comportamento do motor</x:v>
      </x:c>
      <x:c r="D4" s="52" t="str">
        <x:v>Risco evitado</x:v>
      </x:c>
      <x:c r="E4" s="52" t="str">
        <x:v>Próxima evidência</x:v>
      </x:c>
      <x:c r="F4" s="52" t="str">
        <x:v>Estado</x:v>
      </x:c>
    </x:row>
    <x:row r="5" ht="15" hidden="0" customHeight="1">
      <x:c r="A5" s="52" t="str">
        <x:v>Renda fixa</x:v>
      </x:c>
      <x:c r="B5" s="52" t="str">
        <x:v>Vigência posterior a 2026 e pessoa jurídica</x:v>
      </x:c>
      <x:c r="C5" s="52" t="str">
        <x:v>Mantém hipótese explícita; PJ fica indeterminada</x:v>
      </x:c>
      <x:c r="D5" s="52" t="str">
        <x:v>Alíquota futura ou regime empresarial inventado</x:v>
      </x:c>
      <x:c r="E5" s="52" t="str">
        <x:v>Revisão anual e módulo PJ separado</x:v>
      </x:c>
      <x:c r="F5" s="52" t="str">
        <x:v>PENDENTE</x:v>
      </x:c>
    </x:row>
    <x:row r="6" ht="15" hidden="0" customHeight="1">
      <x:c r="A6" s="52" t="str">
        <x:v>Fundos</x:v>
      </x:c>
      <x:c r="B6" s="52" t="str">
        <x:v>Come-cotas e classificação concreta</x:v>
      </x:c>
      <x:c r="C6" s="52" t="str">
        <x:v>Aceita valor antecipado informado; não reconstrói cotas</x:v>
      </x:c>
      <x:c r="D6" s="52" t="str">
        <x:v>Dupla tributação ou classificação presumida como exata</x:v>
      </x:c>
      <x:c r="E6" s="52" t="str">
        <x:v>Extratos e histórico de cotas</x:v>
      </x:c>
      <x:c r="F6" s="52" t="str">
        <x:v>PENDENTE</x:v>
      </x:c>
    </x:row>
    <x:row r="7" ht="15" hidden="0" customHeight="1">
      <x:c r="A7" s="52" t="str">
        <x:v>Previdência</x:v>
      </x:c>
      <x:c r="B7" s="52" t="str">
        <x:v>Múltiplos lotes e base anual</x:v>
      </x:c>
      <x:c r="C7" s="52" t="str">
        <x:v>Lote único/regime e base informados</x:v>
      </x:c>
      <x:c r="D7" s="52" t="str">
        <x:v>Tabela regressiva aplicada à idade errada</x:v>
      </x:c>
      <x:c r="E7" s="52" t="str">
        <x:v>Histórico de aportes e declaração</x:v>
      </x:c>
      <x:c r="F7" s="52" t="str">
        <x:v>PENDENTE</x:v>
      </x:c>
    </x:row>
    <x:row r="8" ht="15" hidden="0" customHeight="1">
      <x:c r="A8" s="52" t="str">
        <x:v>Renda variável</x:v>
      </x:c>
      <x:c r="B8" s="52" t="str">
        <x:v>Notas, custos, IRRF e prejuízos</x:v>
      </x:c>
      <x:c r="C8" s="52" t="str">
        <x:v>Exige saldos por modalidade</x:v>
      </x:c>
      <x:c r="D8" s="52" t="str">
        <x:v>Compensação cruzada indevida</x:v>
      </x:c>
      <x:c r="E8" s="52" t="str">
        <x:v>Importador de notas e conciliação mensal</x:v>
      </x:c>
      <x:c r="F8" s="52" t="str">
        <x:v>PENDENTE</x:v>
      </x:c>
    </x:row>
    <x:row r="9" ht="15" hidden="0" customHeight="1">
      <x:c r="A9" s="52" t="str">
        <x:v>Estruturados</x:v>
      </x:c>
      <x:c r="B9" s="52" t="str">
        <x:v>Elegibilidade documental</x:v>
      </x:c>
      <x:c r="C9" s="52" t="str">
        <x:v>Isenção somente com confirmação explícita</x:v>
      </x:c>
      <x:c r="D9" s="52" t="str">
        <x:v>Isenção automática de instrumento inelegível</x:v>
      </x:c>
      <x:c r="E9" s="52" t="str">
        <x:v>Prospecto/escritura e revisão jurídica</x:v>
      </x:c>
      <x:c r="F9" s="52" t="str">
        <x:v>PENDENTE</x:v>
      </x:c>
    </x:row>
    <x:row r="10" ht="15" hidden="0" customHeight="1">
      <x:c r="A10" s="52" t="str">
        <x:v>Todos</x:v>
      </x:c>
      <x:c r="B10" s="52" t="str">
        <x:v>Mudança legislativa e interpretação</x:v>
      </x:c>
      <x:c r="C10" s="52" t="str">
        <x:v>Versionamento por data-base e fontes</x:v>
      </x:c>
      <x:c r="D10" s="52" t="str">
        <x:v>Validação universal indevida</x:v>
      </x:c>
      <x:c r="E10" s="52" t="str">
        <x:v>Revisão humana periódica</x:v>
      </x:c>
      <x:c r="F10" s="52" t="str">
        <x:v>PENDENTE</x:v>
      </x:c>
    </x:row>
  </x:sheetData>
  <x:mergeCells>
    <x:mergeCell ref="A1:F2"/>
  </x:mergeCells>
  <x:pageMargins left="0.7" right="0.7" top="0.75" bottom="0.75" header="0.3" footer="0.3"/>
  <x:tableParts count="1">
    <x:tablePart xmlns:r="http://schemas.openxmlformats.org/officeDocument/2006/relationships" r:id="Rfc531ca525ac462d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0" hidden="0" customWidth="1"/>
  </x:cols>
  <x:sheetData>
    <x:row r="1" ht="32" customHeight="1">
      <x:c r="A1" s="22" t="str">
        <x:v>Como usar a validação</x:v>
      </x:c>
      <x:c r="B1" s="22" t="str">
        <x:v>Como usar a validação</x:v>
      </x:c>
      <x:c r="C1" s="22" t="str">
        <x:v>Como usar a validação</x:v>
      </x:c>
      <x:c r="D1" s="22" t="str">
        <x:v>Como usar a validação</x:v>
      </x:c>
      <x:c r="E1" s="22" t="str">
        <x:v>Como usar a validação</x:v>
      </x:c>
      <x:c r="F1" s="22" t="str">
        <x:v>Como usar a validação</x:v>
      </x:c>
    </x:row>
    <x:row r="2" ht="32" customHeight="1">
      <x:c r="A2" s="22" t="str">
        <x:v>Como usar a validação</x:v>
      </x:c>
      <x:c r="B2" s="22" t="str">
        <x:v>Como usar a validação</x:v>
      </x:c>
      <x:c r="C2" s="22" t="str">
        <x:v>Como usar a validação</x:v>
      </x:c>
      <x:c r="D2" s="22" t="str">
        <x:v>Como usar a validação</x:v>
      </x:c>
      <x:c r="E2" s="22" t="str">
        <x:v>Como usar a validação</x:v>
      </x:c>
      <x:c r="F2" s="22" t="str">
        <x:v>Como usar a validação</x:v>
      </x:c>
    </x:row>
    <x:row r="3" ht="15" hidden="0" customHeight="1">
      <x:c r="A3" s="52"/>
      <x:c r="B3" s="52"/>
      <x:c r="C3" s="52"/>
      <x:c r="D3" s="52"/>
      <x:c r="E3" s="52"/>
      <x:c r="F3" s="52"/>
    </x:row>
    <x:row r="4" ht="15" hidden="0" customHeight="1">
      <x:c r="A4" s="57" t="str">
        <x:v>Fluxo obrigatório</x:v>
      </x:c>
      <x:c r="B4" s="57" t="str">
        <x:v>Fluxo obrigatório</x:v>
      </x:c>
      <x:c r="C4" s="57" t="str">
        <x:v>Fluxo obrigatório</x:v>
      </x:c>
      <x:c r="D4" s="57" t="str">
        <x:v>Fluxo obrigatório</x:v>
      </x:c>
      <x:c r="E4" s="57" t="str">
        <x:v>Fluxo obrigatório</x:v>
      </x:c>
      <x:c r="F4" s="57" t="str">
        <x:v>Fluxo obrigatório</x:v>
      </x:c>
    </x:row>
    <x:row r="5" ht="15" hidden="0" customHeight="1">
      <x:c r="A5" s="52" t="str">
        <x:v>1. Execute validar_tudo e confirme DIVERGENTE = 0.</x:v>
      </x:c>
      <x:c r="B5" s="52"/>
      <x:c r="C5" s="52"/>
      <x:c r="D5" s="52"/>
      <x:c r="E5" s="52"/>
      <x:c r="F5" s="52"/>
    </x:row>
    <x:row r="6" ht="15" hidden="0" customHeight="1">
      <x:c r="A6" s="52" t="str">
        <x:v>2. Execute os três arquivos de testes tributários.</x:v>
      </x:c>
      <x:c r="B6" s="52"/>
      <x:c r="C6" s="52"/>
      <x:c r="D6" s="52"/>
      <x:c r="E6" s="52"/>
      <x:c r="F6" s="52"/>
    </x:row>
    <x:row r="7" ht="15" hidden="0" customHeight="1">
      <x:c r="A7" s="52" t="str">
        <x:v>3. Abra a aba Casos e filtre PENDENTE_PREMISSA ou FORA_DO_ESCOPO.</x:v>
      </x:c>
      <x:c r="B7" s="52"/>
      <x:c r="C7" s="52"/>
      <x:c r="D7" s="52"/>
      <x:c r="E7" s="52"/>
      <x:c r="F7" s="52"/>
    </x:row>
    <x:row r="8" ht="15" hidden="0" customHeight="1">
      <x:c r="A8" s="52" t="str">
        <x:v>4. Abra cada fonte oficial, confirme vigência e enquadramento do caso concreto.</x:v>
      </x:c>
      <x:c r="B8" s="52"/>
      <x:c r="C8" s="52"/>
      <x:c r="D8" s="52"/>
      <x:c r="E8" s="52"/>
      <x:c r="F8" s="52"/>
    </x:row>
    <x:row r="9" ht="15" hidden="0" customHeight="1">
      <x:c r="A9" s="52" t="str">
        <x:v>5. Registre revisor, data e observação somente após conferir a memória de cálculo.</x:v>
      </x:c>
      <x:c r="B9" s="52"/>
      <x:c r="C9" s="52"/>
      <x:c r="D9" s="52"/>
      <x:c r="E9" s="52"/>
      <x:c r="F9" s="52"/>
    </x:row>
    <x:row r="10" ht="15" hidden="0" customHeight="1">
      <x:c r="A10" s="52" t="str">
        <x:v>6. Não transforme pendência em validação apenas porque a diferença numérica é zero.</x:v>
      </x:c>
      <x:c r="B10" s="52"/>
      <x:c r="C10" s="52"/>
      <x:c r="D10" s="52"/>
      <x:c r="E10" s="52"/>
      <x:c r="F10" s="52"/>
    </x:row>
    <x:row r="11" ht="15" hidden="0" customHeight="1">
      <x:c r="A11" s="52"/>
      <x:c r="B11" s="52"/>
      <x:c r="C11" s="52"/>
      <x:c r="D11" s="52"/>
      <x:c r="E11" s="52"/>
      <x:c r="F11" s="52"/>
    </x:row>
    <x:row r="12" ht="15" hidden="0" customHeight="1">
      <x:c r="A12" s="57" t="str">
        <x:v>Critério de interpretação</x:v>
      </x:c>
      <x:c r="B12" s="57" t="str">
        <x:v>Critério de interpretação</x:v>
      </x:c>
      <x:c r="C12" s="57" t="str">
        <x:v>Critério de interpretação</x:v>
      </x:c>
      <x:c r="D12" s="57" t="str">
        <x:v>Critério de interpretação</x:v>
      </x:c>
      <x:c r="E12" s="57" t="str">
        <x:v>Critério de interpretação</x:v>
      </x:c>
      <x:c r="F12" s="57" t="str">
        <x:v>Critério de interpretação</x:v>
      </x:c>
    </x:row>
    <x:row r="13" ht="15" hidden="0" customHeight="1">
      <x:c r="A13" s="52" t="str">
        <x:v>VALIDADO_PRIMEIRA_CAMADA não equivale a parecer fiscal universal.</x:v>
      </x:c>
      <x:c r="B13" s="52"/>
      <x:c r="C13" s="52"/>
      <x:c r="D13" s="52"/>
      <x:c r="E13" s="52"/>
      <x:c r="F13" s="52"/>
    </x:row>
    <x:row r="14" ht="15" hidden="0" customHeight="1">
      <x:c r="A14" s="52" t="str">
        <x:v>PENDENTE_PREMISSA significa que a fórmula coincide, mas a conclusão depende de dado ou documento.</x:v>
      </x:c>
      <x:c r="B14" s="52"/>
      <x:c r="C14" s="52"/>
      <x:c r="D14" s="52"/>
      <x:c r="E14" s="52"/>
      <x:c r="F14" s="52"/>
    </x:row>
    <x:row r="15" ht="30" hidden="0" customHeight="1">
      <x:c r="A15" s="52" t="str">
        <x:v>FORA_DO_ESCOPO identifica produto ou regime não suportado; falta de dado obrigatório permanece PENDENTE_PREMISSA.</x:v>
      </x:c>
      <x:c r="B15" s="52"/>
      <x:c r="C15" s="52"/>
      <x:c r="D15" s="52"/>
      <x:c r="E15" s="52"/>
      <x:c r="F15" s="52"/>
    </x:row>
    <x:row r="16" ht="15" hidden="0" customHeight="1">
      <x:c r="A16" s="52" t="str">
        <x:v>DIVERGENTE exige interromper a aprovação e investigar fixture, fórmula independente e motor.</x:v>
      </x:c>
      <x:c r="B16" s="52"/>
      <x:c r="C16" s="52"/>
      <x:c r="D16" s="52"/>
      <x:c r="E16" s="52"/>
      <x:c r="F16" s="52"/>
    </x:row>
    <x:row r="17" ht="15" hidden="0" customHeight="1">
      <x:c r="A17" s="52" t="str">
        <x:v>A planilha é evidência de engenharia e auditoria; não substitui contador ou advogado tributarista.</x:v>
      </x:c>
      <x:c r="B17" s="52"/>
      <x:c r="C17" s="52"/>
      <x:c r="D17" s="52"/>
      <x:c r="E17" s="52"/>
      <x:c r="F17" s="52"/>
    </x:row>
  </x:sheetData>
  <x:mergeCells>
    <x:mergeCell ref="A1:F2"/>
    <x:mergeCell ref="A4:F4"/>
    <x:mergeCell ref="A5:F5"/>
    <x:mergeCell ref="A6:F6"/>
    <x:mergeCell ref="A7:F7"/>
    <x:mergeCell ref="A8:F8"/>
    <x:mergeCell ref="A9:F9"/>
    <x:mergeCell ref="A10:F10"/>
    <x:mergeCell ref="A12:F12"/>
    <x:mergeCell ref="A13:F13"/>
    <x:mergeCell ref="A14:F14"/>
    <x:mergeCell ref="A15:F15"/>
    <x:mergeCell ref="A16:F16"/>
    <x:mergeCell ref="A17:F17"/>
  </x:mergeCells>
  <x:pageMargins left="0.7" right="0.7" top="0.75" bottom="0.75" header="0.3" footer="0.3"/>
</x:worksheet>
</file>